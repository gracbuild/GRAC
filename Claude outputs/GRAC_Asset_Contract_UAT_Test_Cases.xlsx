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C Permissions" sheetId="2" state="visible" r:id="rId4"/>
    <sheet name="AC Workflows" sheetId="3" state="visible" r:id="rId5"/>
    <sheet name="AC Reconciliation" sheetId="4" state="visible" r:id="rId6"/>
    <sheet name="AC Reports &amp; Delivery" sheetId="5" state="visible" r:id="rId7"/>
    <sheet name="AC Regression" sheetId="6" state="visible" r:id="rId8"/>
  </sheets>
  <definedNames>
    <definedName function="false" hidden="true" localSheetId="1" name="_xlnm._FilterDatabase" vbProcedure="false">'AC Permissions'!$A$3:$K$21</definedName>
    <definedName function="false" hidden="true" localSheetId="3" name="_xlnm._FilterDatabase" vbProcedure="false">'AC Reconciliation'!$A$3:$K$13</definedName>
    <definedName function="false" hidden="true" localSheetId="5" name="_xlnm._FilterDatabase" vbProcedure="false">'AC Regression'!$A$3:$K$23</definedName>
    <definedName function="false" hidden="true" localSheetId="4" name="_xlnm._FilterDatabase" vbProcedure="false">'AC Reports &amp; Delivery'!$A$3:$K$16</definedName>
    <definedName function="false" hidden="true" localSheetId="2" name="_xlnm._FilterDatabase" vbProcedure="false">'AC Workflows'!$A$3:$K$16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<sst xmlns="http://schemas.openxmlformats.org/spreadsheetml/2006/main" count="762" uniqueCount="397">
  <si>
    <t xml:space="preserve">GRAC Asset &amp; Contract Management -- UAT Test Cases (Phase 9)</t>
  </si>
  <si>
    <t xml:space="preserve">Module</t>
  </si>
  <si>
    <t xml:space="preserve">Asset &amp; Contract Management (BRD v1.7), migrations 420-453</t>
  </si>
  <si>
    <t xml:space="preserve">Scope</t>
  </si>
  <si>
    <t xml:space="preserve">Permissions and organization isolation, workflows, reconciliation, report catalogue / export / distribution, regression of every asset screen.</t>
  </si>
  <si>
    <t xml:space="preserve">Depth</t>
  </si>
  <si>
    <t xml:space="preserve">Functional happy paths plus negative, segregation-of-duties, data-scope and reconciliation cases.</t>
  </si>
  <si>
    <t xml:space="preserve">Scripts</t>
  </si>
  <si>
    <t xml:space="preserve">database/deployment/16_UAT_Diagnostics_AssetContract.sql (read-only) and 17_Asset_Contract_Regression_Tests.sql (UAT only).</t>
  </si>
  <si>
    <t xml:space="preserve">Prepared</t>
  </si>
  <si>
    <t xml:space="preserve">Draft for UAT -- fill Status (Pass / Fail / Blocked) and Remarks per execution run.</t>
  </si>
  <si>
    <t xml:space="preserve">Legend</t>
  </si>
  <si>
    <t xml:space="preserve">Type</t>
  </si>
  <si>
    <t xml:space="preserve">Functional, Negative, Validation, Permission, SoD (segregation of duties), Isolation, Data scope, Reconciliation, Security, Regression</t>
  </si>
  <si>
    <t xml:space="preserve">Priority</t>
  </si>
  <si>
    <t xml:space="preserve">High = core flow / blocks UAT if broken; Medium = important, has a workaround; Low = cosmetic</t>
  </si>
  <si>
    <t xml:space="preserve">Status</t>
  </si>
  <si>
    <t xml:space="preserve">Edit only column J of each sheet: Pass / Fail / Blocked (blank = not run). The summary below counts them.</t>
  </si>
  <si>
    <t xml:space="preserve">Summary</t>
  </si>
  <si>
    <t xml:space="preserve">Sheet</t>
  </si>
  <si>
    <t xml:space="preserve">Cases</t>
  </si>
  <si>
    <t xml:space="preserve">Pass</t>
  </si>
  <si>
    <t xml:space="preserve">Fail</t>
  </si>
  <si>
    <t xml:space="preserve">Blocked</t>
  </si>
  <si>
    <t xml:space="preserve">Not run</t>
  </si>
  <si>
    <t xml:space="preserve">AC Permissions</t>
  </si>
  <si>
    <t xml:space="preserve">AC Workflows</t>
  </si>
  <si>
    <t xml:space="preserve">AC Reconciliation</t>
  </si>
  <si>
    <t xml:space="preserve">AC Reports &amp; Delivery</t>
  </si>
  <si>
    <t xml:space="preserve">AC Regression</t>
  </si>
  <si>
    <t xml:space="preserve">Total</t>
  </si>
  <si>
    <t xml:space="preserve">Asset &amp; Contract -- permissions and organization isolation</t>
  </si>
  <si>
    <t xml:space="preserve">Who may open, change and approve each screen; the Web proxy and the procedures refuse the rest (403 / error number).</t>
  </si>
  <si>
    <t xml:space="preserve">TC ID</t>
  </si>
  <si>
    <t xml:space="preserve">Screen / Menu</t>
  </si>
  <si>
    <t xml:space="preserve">Scenario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</si>
  <si>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</si>
  <si>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</si>
  <si>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</si>
  <si>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</si>
  <si>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Remarks</t>
  </si>
  <si>
    <t xml:space="preserve">ACP-001</t>
  </si>
  <si>
    <t xml:space="preserve">All asset screens</t>
  </si>
  <si>
    <t xml:space="preserve">Screen hidden without VIEW</t>
  </si>
  <si>
    <t xml:space="preserve">Permission</t>
  </si>
  <si>
    <t xml:space="preserve">High</t>
  </si>
  <si>
    <t xml:space="preserve">Role without VIEW on Asset Register</t>
  </si>
  <si>
    <t xml:space="preserve">1. Remove asset-register VIEW in Role Master
2. Re-login
3. Open the Asset &amp; Contract menu</t>
  </si>
  <si>
    <t xml:space="preserve">Test role</t>
  </si>
  <si>
    <t xml:space="preserve">Asset Register is not in the menu; opening /Practice/Index/asset-register directly is refused.</t>
  </si>
  <si>
    <t xml:space="preserve">ACP-002</t>
  </si>
  <si>
    <t xml:space="preserve">Other organization refused</t>
  </si>
  <si>
    <t xml:space="preserve">Isolation</t>
  </si>
  <si>
    <t xml:space="preserve">User mapped to organization A only</t>
  </si>
  <si>
    <t xml:space="preserve">1. Call a list URL of any asset screen with organizationId of organization B (browser address bar / dev tools)</t>
  </si>
  <si>
    <t xml:space="preserve">organizationId of B</t>
  </si>
  <si>
    <t xml:space="preserve">HTTP 403 "Caller is not authorised for the requested organization."; no rows of B appear.</t>
  </si>
  <si>
    <t xml:space="preserve">ACP-003</t>
  </si>
  <si>
    <t xml:space="preserve">Asset Register</t>
  </si>
  <si>
    <t xml:space="preserve">New asset needs ADD, change needs EDIT</t>
  </si>
  <si>
    <t xml:space="preserve">Role with VIEW + EDIT, no ADD</t>
  </si>
  <si>
    <t xml:space="preserve">1. Try to create an asset
2. Edit an existing asset</t>
  </si>
  <si>
    <t xml:space="preserve">-</t>
  </si>
  <si>
    <t xml:space="preserve">Create refused (403); edit saved.</t>
  </si>
  <si>
    <t xml:space="preserve">ACP-004</t>
  </si>
  <si>
    <t xml:space="preserve">Lifecycle approval needs APPROVE</t>
  </si>
  <si>
    <t xml:space="preserve">Lifecycle change awaiting approval; role with EDIT, no APPROVE</t>
  </si>
  <si>
    <t xml:space="preserve">1. Open the pending change
2. Approve</t>
  </si>
  <si>
    <t xml:space="preserve">Approve / Reject refused (403); Cancel allowed with EDIT.</t>
  </si>
  <si>
    <t xml:space="preserve">ACP-005</t>
  </si>
  <si>
    <t xml:space="preserve">Valuation method override needs APPROVE</t>
  </si>
  <si>
    <t xml:space="preserve">Medium</t>
  </si>
  <si>
    <t xml:space="preserve">Asset with Asset Value; role with EDIT only</t>
  </si>
  <si>
    <t xml:space="preserve">1. Valuation tab -&gt; override method</t>
  </si>
  <si>
    <t xml:space="preserve">Refused (403); Recalculate (EDIT) allowed.</t>
  </si>
  <si>
    <t xml:space="preserve">ACP-006</t>
  </si>
  <si>
    <t xml:space="preserve">Asset Attestation</t>
  </si>
  <si>
    <t xml:space="preserve">Only the assignee responds; only the manager decides</t>
  </si>
  <si>
    <t xml:space="preserve">Attestation assigned to employee X; manager M</t>
  </si>
  <si>
    <t xml:space="preserve">1. As another employee with VIEW, respond
2. As X respond
3. As someone other than M approve</t>
  </si>
  <si>
    <t xml:space="preserve">Step 1 refused by the procedure; step 2 saved; step 3 refused. Cancel needs APPROVE.</t>
  </si>
  <si>
    <t xml:space="preserve">ACP-007</t>
  </si>
  <si>
    <t xml:space="preserve">Exception approve / reassign need APPROVE; investigator actions only by the investigator</t>
  </si>
  <si>
    <t xml:space="preserve">Open verification exception with an investigator</t>
  </si>
  <si>
    <t xml:space="preserve">1. As a non-investigator with VIEW, start investigation
2. As investigator start
3. Approve resolution without APPROVE</t>
  </si>
  <si>
    <t xml:space="preserve">1 refused, 2 saved, 3 refused (403).</t>
  </si>
  <si>
    <t xml:space="preserve">ACP-008</t>
  </si>
  <si>
    <t xml:space="preserve">Asset Contracts</t>
  </si>
  <si>
    <t xml:space="preserve">Segregation of duties on contract versions</t>
  </si>
  <si>
    <t xml:space="preserve">SoD</t>
  </si>
  <si>
    <t xml:space="preserve">Version submitted by user S</t>
  </si>
  <si>
    <t xml:space="preserve">1. As S review / approve the version
2. As another user with APPROVE approve</t>
  </si>
  <si>
    <t xml:space="preserve">S is refused by the procedure; the other user approves.</t>
  </si>
  <si>
    <t xml:space="preserve">ACP-009</t>
  </si>
  <si>
    <t xml:space="preserve">Vendor contact validation by someone other than the creator</t>
  </si>
  <si>
    <t xml:space="preserve">Contact mapping created by C</t>
  </si>
  <si>
    <t xml:space="preserve">1. As C validate
2. As another user with APPROVE validate</t>
  </si>
  <si>
    <t xml:space="preserve">C refused; other user validates.</t>
  </si>
  <si>
    <t xml:space="preserve">ACP-010</t>
  </si>
  <si>
    <t xml:space="preserve">Asset Relationships</t>
  </si>
  <si>
    <t xml:space="preserve">Proposal ADD, change EDIT, approval APPROVE (not the proposer)</t>
  </si>
  <si>
    <t xml:space="preserve">Relationship proposed by P</t>
  </si>
  <si>
    <t xml:space="preserve">1. As P approve
2. As another approver approve</t>
  </si>
  <si>
    <t xml:space="preserve">P refused; approval by another user activates it.</t>
  </si>
  <si>
    <t xml:space="preserve">ACP-011</t>
  </si>
  <si>
    <t xml:space="preserve">Asset Discovery</t>
  </si>
  <si>
    <t xml:space="preserve">Accept observed value needs APPROVE; execute merge needs Asset Register EDIT</t>
  </si>
  <si>
    <t xml:space="preserve">Open conflict; approved merge</t>
  </si>
  <si>
    <t xml:space="preserve">1. Accept observed value with EDIT only
2. Execute merge without asset-register EDIT</t>
  </si>
  <si>
    <t xml:space="preserve">Both refused (403).</t>
  </si>
  <si>
    <t xml:space="preserve">ACP-012</t>
  </si>
  <si>
    <t xml:space="preserve">Asset Privacy</t>
  </si>
  <si>
    <t xml:space="preserve">Privacy exception approve needs APPROVE; Extend outcome needs APPROVE</t>
  </si>
  <si>
    <t xml:space="preserve">Exception requested by R; open retention review</t>
  </si>
  <si>
    <t xml:space="preserve">1. As R approve
2. Complete review with Extend without APPROVE</t>
  </si>
  <si>
    <t xml:space="preserve">1 refused (segregation), 2 refused (403); other outcomes with EDIT saved.</t>
  </si>
  <si>
    <t xml:space="preserve">ACP-013</t>
  </si>
  <si>
    <t xml:space="preserve">Asset Taxonomy</t>
  </si>
  <si>
    <t xml:space="preserve">Global taxonomy only by platform administrator</t>
  </si>
  <si>
    <t xml:space="preserve">Organization admin (not PM_ADMIN) with taxonomy EDIT</t>
  </si>
  <si>
    <t xml:space="preserve">1. Add a category</t>
  </si>
  <si>
    <t xml:space="preserve">Refused: "only the platform administrator can change it". Organization defaults of a type can be saved with EDIT.</t>
  </si>
  <si>
    <t xml:space="preserve">ACP-014</t>
  </si>
  <si>
    <t xml:space="preserve">Technology Catalogue</t>
  </si>
  <si>
    <t xml:space="preserve">Shared catalogue only by platform administrator</t>
  </si>
  <si>
    <t xml:space="preserve">Organization admin</t>
  </si>
  <si>
    <t xml:space="preserve">1. Save a model with Shared ticked</t>
  </si>
  <si>
    <t xml:space="preserve">Refused (403).</t>
  </si>
  <si>
    <t xml:space="preserve">ACP-015</t>
  </si>
  <si>
    <t xml:space="preserve">Asset &amp; Contract Dashboard</t>
  </si>
  <si>
    <t xml:space="preserve">Sections follow screen permissions</t>
  </si>
  <si>
    <t xml:space="preserve">Role with VIEW on Asset Register and Asset Contracts only</t>
  </si>
  <si>
    <t xml:space="preserve">1. Open Asset &amp; Contract -&gt; Dashboard</t>
  </si>
  <si>
    <t xml:space="preserve">Only the asset / technology and contract sections appear.</t>
  </si>
  <si>
    <t xml:space="preserve">ACP-016</t>
  </si>
  <si>
    <t xml:space="preserve">Asset Reports</t>
  </si>
  <si>
    <t xml:space="preserve">Report list limited to viewable screens</t>
  </si>
  <si>
    <t xml:space="preserve">Role with Asset Reports + Asset Register VIEW only</t>
  </si>
  <si>
    <t xml:space="preserve">1. Open Asset Reports -&gt; Catalogue
2. Call /reports/CON_EXPIRY/run directly</t>
  </si>
  <si>
    <t xml:space="preserve">Only Asset, Technology, CIA reports listed; direct call returns 403 (53103).</t>
  </si>
  <si>
    <t xml:space="preserve">ACP-017</t>
  </si>
  <si>
    <t xml:space="preserve">Restricted export needs APPROVE</t>
  </si>
  <si>
    <t xml:space="preserve">Settings: a report set to RESTRICTED (policy default Approver)</t>
  </si>
  <si>
    <t xml:space="preserve">1. As a user without Asset Reports APPROVE export it
2. As an approver export it</t>
  </si>
  <si>
    <t xml:space="preserve">1: "Export ... needs Asset Reports APPROVE" (403, 53105). 2: CSV downloaded and recorded.</t>
  </si>
  <si>
    <t xml:space="preserve">ACP-018</t>
  </si>
  <si>
    <t xml:space="preserve">View Data Scope applies to report grid and export</t>
  </si>
  <si>
    <t xml:space="preserve">Data scope</t>
  </si>
  <si>
    <t xml:space="preserve">Role with a restricted View Data Scope on risks</t>
  </si>
  <si>
    <t xml:space="preserve">1. Run Inherent/Residual Risk
2. Export it</t>
  </si>
  <si>
    <t xml:space="preserve">Grid and file show only risks in the scope; the counts match.</t>
  </si>
  <si>
    <t xml:space="preserve">Asset &amp; Contract -- workflows end to end</t>
  </si>
  <si>
    <t xml:space="preserve">Life cycles that cross screens and people; each step leaves an audit row (practice_audit_trace / history tabs).</t>
  </si>
  <si>
    <t xml:space="preserve">ACW-001</t>
  </si>
  <si>
    <t xml:space="preserve">Register an asset from Draft to Active</t>
  </si>
  <si>
    <t xml:space="preserve">Functional</t>
  </si>
  <si>
    <t xml:space="preserve">Asset type with an approved form template</t>
  </si>
  <si>
    <t xml:space="preserve">1. New asset -&gt; fill mandatory fields -&gt; Save
2. Transition to Active (approval if the gate needs it)</t>
  </si>
  <si>
    <t xml:space="preserve">Asset type with template</t>
  </si>
  <si>
    <t xml:space="preserve">Asset saved in Draft; mandatory-field check blocks incomplete moves; Active after approval; history shows each move.</t>
  </si>
  <si>
    <t xml:space="preserve">ACW-002</t>
  </si>
  <si>
    <t xml:space="preserve">Lifecycle gate blocks a move</t>
  </si>
  <si>
    <t xml:space="preserve">Validation</t>
  </si>
  <si>
    <t xml:space="preserve">Asset with a BLOCK privacy gap or an active critical relationship</t>
  </si>
  <si>
    <t xml:space="preserve">1. Move to Active (privacy) or Disposed (relationship)</t>
  </si>
  <si>
    <t xml:space="preserve">Move refused with the reason naming the gate.</t>
  </si>
  <si>
    <t xml:space="preserve">ACW-003</t>
  </si>
  <si>
    <t xml:space="preserve">Periodic attestation to closure</t>
  </si>
  <si>
    <t xml:space="preserve">Attestation profile for the asset type; asset with custodian</t>
  </si>
  <si>
    <t xml:space="preserve">1. Generate (campaign)
2. Assignee confirms
3. Manager approves</t>
  </si>
  <si>
    <t xml:space="preserve">Pending -&gt; Confirmed -&gt; Closed; next attestation date set; overdue occurrences show Overdue after the due date.</t>
  </si>
  <si>
    <t xml:space="preserve">ACW-004</t>
  </si>
  <si>
    <t xml:space="preserve">Disagreement raises a verification exception</t>
  </si>
  <si>
    <t xml:space="preserve">Open attestation</t>
  </si>
  <si>
    <t xml:space="preserve">1. Respond Disagree, category Asset lost
2. Investigator resolves with Lost confirmed
3. Approver approves; close</t>
  </si>
  <si>
    <t xml:space="preserve">Exception routed per rule; SLA dates; lost-asset security review required before closure; asset can move to Lost.</t>
  </si>
  <si>
    <t xml:space="preserve">ACW-005</t>
  </si>
  <si>
    <t xml:space="preserve">Contract version to Active and renewal</t>
  </si>
  <si>
    <t xml:space="preserve">Vendor, coverage type option</t>
  </si>
  <si>
    <t xml:space="preserve">1. Create contract and version, submit, review, approve (different users)
2. Effective start reached (scheduler)
3. Renewal opens at the notice date</t>
  </si>
  <si>
    <t xml:space="preserve">Version Active on its start date; previous version superseded; renewal occurrence opened and approvable.</t>
  </si>
  <si>
    <t xml:space="preserve">ACW-006</t>
  </si>
  <si>
    <t xml:space="preserve">Coverage requirement gap</t>
  </si>
  <si>
    <t xml:space="preserve">Coverage requirement REQUIRED for an asset type</t>
  </si>
  <si>
    <t xml:space="preserve">1. Asset of that type without coverage
2. Add a contract covering it</t>
  </si>
  <si>
    <t xml:space="preserve">Gap listed (Missing), then cleared when covered; Short when shorter than the minimum period.</t>
  </si>
  <si>
    <t xml:space="preserve">ACW-007</t>
  </si>
  <si>
    <t xml:space="preserve">Asset Notifications</t>
  </si>
  <si>
    <t xml:space="preserve">Reminder and escalation</t>
  </si>
  <si>
    <t xml:space="preserve">Notification profile for contract expiry with stages</t>
  </si>
  <si>
    <t xml:space="preserve">1. Contract ending inside the first stage
2. Run the scheduler</t>
  </si>
  <si>
    <t xml:space="preserve">Occurrence opened; in-app notice in My Notifications; escalation level rises per stage; snooze needs the configured role.</t>
  </si>
  <si>
    <t xml:space="preserve">ACW-008</t>
  </si>
  <si>
    <t xml:space="preserve">Asset Activities</t>
  </si>
  <si>
    <t xml:space="preserve">Calibration result with failed outcome</t>
  </si>
  <si>
    <t xml:space="preserve">Recurring calibration activity</t>
  </si>
  <si>
    <t xml:space="preserve">1. Complete with Failed result
2. Review the restrictive-use review</t>
  </si>
  <si>
    <t xml:space="preserve">Disposition required; restrictive-use review opened; reviewer other than submitter.</t>
  </si>
  <si>
    <t xml:space="preserve">ACW-009</t>
  </si>
  <si>
    <t xml:space="preserve">Asset Relationships / Business Services</t>
  </si>
  <si>
    <t xml:space="preserve">Service with supporting items</t>
  </si>
  <si>
    <t xml:space="preserve">Business service</t>
  </si>
  <si>
    <t xml:space="preserve">1. Map assets as Supports Service
2. Approve relationships
3. Retire an asset that is a critical dependency</t>
  </si>
  <si>
    <t xml:space="preserve">Topology shows items; retirement blocked until accepted.</t>
  </si>
  <si>
    <t xml:space="preserve">ACW-010</t>
  </si>
  <si>
    <t xml:space="preserve">Ingest a batch and reconcile</t>
  </si>
  <si>
    <t xml:space="preserve">Discovery source with rules</t>
  </si>
  <si>
    <t xml:space="preserve">1. Import CSV batch
2. Resolve suggested match, conflict and duplicate</t>
  </si>
  <si>
    <t xml:space="preserve">CSV with externalKey</t>
  </si>
  <si>
    <t xml:space="preserve">Matched links updated; conflicts queued; duplicates merged through Merge (approval + execute) with recovery available.</t>
  </si>
  <si>
    <t xml:space="preserve">ACW-011</t>
  </si>
  <si>
    <t xml:space="preserve">Exception, review and retention</t>
  </si>
  <si>
    <t xml:space="preserve">Asset with personal data Yes</t>
  </si>
  <si>
    <t xml:space="preserve">1. Record a masking gap exception (request -&gt; approve by another)
2. Let the review date pass; complete review</t>
  </si>
  <si>
    <t xml:space="preserve">Status Conditional while excepted; review completed with outcome; retention end computed.</t>
  </si>
  <si>
    <t xml:space="preserve">ACW-012</t>
  </si>
  <si>
    <t xml:space="preserve">Asset Valuation</t>
  </si>
  <si>
    <t xml:space="preserve">Configuration version and recalculation</t>
  </si>
  <si>
    <t xml:space="preserve">Valuation configuration with bands</t>
  </si>
  <si>
    <t xml:space="preserve">1. Approve a new configuration version
2. Run the impact analysis and recalculation with a reason</t>
  </si>
  <si>
    <t xml:space="preserve">Stored values unchanged until the run; run moves categories as analysed; history kept.</t>
  </si>
  <si>
    <t xml:space="preserve">ACW-013</t>
  </si>
  <si>
    <t xml:space="preserve">Asset Governance</t>
  </si>
  <si>
    <t xml:space="preserve">Snapshot and late data</t>
  </si>
  <si>
    <t xml:space="preserve">Organization with assets</t>
  </si>
  <si>
    <t xml:space="preserve">1. Take snapshot
2. Clear an owner; Take snapshot again
3. Take snapshot without changes</t>
  </si>
  <si>
    <t xml:space="preserve">Version 2 of today supersedes 1 (kept); third returns "No change".</t>
  </si>
  <si>
    <t xml:space="preserve">Asset &amp; Contract -- reconciliation (BRD 13.4.1, 19.8)</t>
  </si>
  <si>
    <t xml:space="preserve">The same number must appear on the screen, the dashboard and the report. Run database/deployment/16_UAT_Diagnostics_AssetContract.sql first: section 4 must be all PASS and section 5 gives the expected numbers.</t>
  </si>
  <si>
    <t xml:space="preserve">ACR-001</t>
  </si>
  <si>
    <t xml:space="preserve">Diagnostics script</t>
  </si>
  <si>
    <t xml:space="preserve">Script 16 reconciliation section all PASS</t>
  </si>
  <si>
    <t xml:space="preserve">Reconciliation</t>
  </si>
  <si>
    <t xml:space="preserve">452 / 453 run</t>
  </si>
  <si>
    <t xml:space="preserve">1. Run 16_UAT_Diagnostics_AssetContract.sql for the organization</t>
  </si>
  <si>
    <t xml:space="preserve">@organization_id</t>
  </si>
  <si>
    <t xml:space="preserve">Section 4: R1-R6 PASS (SKIPPED allowed where no data); Section 3 shows no FAIL.</t>
  </si>
  <si>
    <t xml:space="preserve">ACR-002</t>
  </si>
  <si>
    <t xml:space="preserve">Asset Register / Dashboard / Reports</t>
  </si>
  <si>
    <t xml:space="preserve">Lifecycle status counts</t>
  </si>
  <si>
    <t xml:space="preserve">Script 16 section 5</t>
  </si>
  <si>
    <t xml:space="preserve">1. Filter Asset Register by each status
2. Dashboard bar Assets by lifecycle status
3. Complete Asset Register report with the status</t>
  </si>
  <si>
    <t xml:space="preserve">The three totals equal section 5 "Register status".</t>
  </si>
  <si>
    <t xml:space="preserve">ACR-003</t>
  </si>
  <si>
    <t xml:space="preserve">Dashboard / Reports</t>
  </si>
  <si>
    <t xml:space="preserve">Asset Value distribution</t>
  </si>
  <si>
    <t xml:space="preserve">1. Dashboard bars Assets in use by Asset Value
2. Asset Value Distribution report</t>
  </si>
  <si>
    <t xml:space="preserve">Equal per category and to section 5.</t>
  </si>
  <si>
    <t xml:space="preserve">ACR-004</t>
  </si>
  <si>
    <t xml:space="preserve">Asset Attestation / Dashboard / Reports</t>
  </si>
  <si>
    <t xml:space="preserve">Attestation display status</t>
  </si>
  <si>
    <t xml:space="preserve">1. Asset Attestation filtered to Overdue
2. Dashboard Overdue tile
3. Overdue Attestations report</t>
  </si>
  <si>
    <t xml:space="preserve">Same count (open and past due = Overdue).</t>
  </si>
  <si>
    <t xml:space="preserve">ACR-005</t>
  </si>
  <si>
    <t xml:space="preserve">Asset Contracts / Dashboard / Reports</t>
  </si>
  <si>
    <t xml:space="preserve">Coverage gaps</t>
  </si>
  <si>
    <t xml:space="preserve">1. Coverage gaps tab
2. Dashboard Coverage gaps tile
3. Coverage Gaps report</t>
  </si>
  <si>
    <t xml:space="preserve">Same count and same assets.</t>
  </si>
  <si>
    <t xml:space="preserve">ACR-006</t>
  </si>
  <si>
    <t xml:space="preserve">Asset Privacy / Dashboard / Reports</t>
  </si>
  <si>
    <t xml:space="preserve">Privacy status</t>
  </si>
  <si>
    <t xml:space="preserve">1. Asset Privacy filtered by status
2. Dashboard bar
3. Personal-Data Assets report with the status</t>
  </si>
  <si>
    <t xml:space="preserve">Same counts (report lists applicable assets only).</t>
  </si>
  <si>
    <t xml:space="preserve">ACR-007</t>
  </si>
  <si>
    <t xml:space="preserve">Asset Discovery / Dashboard / Reports</t>
  </si>
  <si>
    <t xml:space="preserve">Reconciliation queue by kind</t>
  </si>
  <si>
    <t xml:space="preserve">1. Queue filtered by kind
2. Dashboard Open conflicts / duplicates
3. Reconciliation Queue report</t>
  </si>
  <si>
    <t xml:space="preserve">Same counts.</t>
  </si>
  <si>
    <t xml:space="preserve">ACR-008</t>
  </si>
  <si>
    <t xml:space="preserve">Score = its record rows</t>
  </si>
  <si>
    <t xml:space="preserve">Snapshot taken</t>
  </si>
  <si>
    <t xml:space="preserve">1. Open a KPI detail
2. Add passing and failing contributions</t>
  </si>
  <si>
    <t xml:space="preserve">Numerator and denominator equal the card; failing / excluded counts equal the rows.</t>
  </si>
  <si>
    <t xml:space="preserve">ACR-009</t>
  </si>
  <si>
    <t xml:space="preserve">Grid total = export rows</t>
  </si>
  <si>
    <t xml:space="preserve">Any report</t>
  </si>
  <si>
    <t xml:space="preserve">1. Run with filters; note the total
2. Export CSV</t>
  </si>
  <si>
    <t xml:space="preserve">File Rows line and data rows equal the grid total; Export history shows the same filters and count.</t>
  </si>
  <si>
    <t xml:space="preserve">ACR-010</t>
  </si>
  <si>
    <t xml:space="preserve">Delivered file = recipient run</t>
  </si>
  <si>
    <t xml:space="preserve">Schedule with a recipient</t>
  </si>
  <si>
    <t xml:space="preserve">1. Run now
2. As the recipient run the same report with the schedule filters</t>
  </si>
  <si>
    <t xml:space="preserve">Delivered row count equals the recipient grid total (same data scope).</t>
  </si>
  <si>
    <t xml:space="preserve">Asset &amp; Contract -- report catalogue, export, schedules (BRD 13.4)</t>
  </si>
  <si>
    <t xml:space="preserve">Asset Reports screen. Automated counterpart: database/deployment/17_Asset_Contract_Regression_Tests.sql (UAT only, @confirm = 1).</t>
  </si>
  <si>
    <t xml:space="preserve">ACD-001</t>
  </si>
  <si>
    <t xml:space="preserve">Catalogue by family</t>
  </si>
  <si>
    <t xml:space="preserve">Admin</t>
  </si>
  <si>
    <t xml:space="preserve">1. Open Asset Reports</t>
  </si>
  <si>
    <t xml:space="preserve">Nine families; 47 runnable reports; 6 listed as not available with where the information is.</t>
  </si>
  <si>
    <t xml:space="preserve">ACD-002</t>
  </si>
  <si>
    <t xml:space="preserve">Run with filters and paging</t>
  </si>
  <si>
    <t xml:space="preserve">1. Open a report
2. Set status / asset type / dates / days
3. Page</t>
  </si>
  <si>
    <t xml:space="preserve">Only the filters the report takes are shown; totals change with the filters; paging works.</t>
  </si>
  <si>
    <t xml:space="preserve">ACD-003</t>
  </si>
  <si>
    <t xml:space="preserve">Invalid filters refused</t>
  </si>
  <si>
    <t xml:space="preserve">Negative</t>
  </si>
  <si>
    <t xml:space="preserve">1. From date after To date
2. Days 0</t>
  </si>
  <si>
    <t xml:space="preserve">Messages from 53106; nothing exported.</t>
  </si>
  <si>
    <t xml:space="preserve">ACD-004</t>
  </si>
  <si>
    <t xml:space="preserve">Export CSV watermark and record</t>
  </si>
  <si>
    <t xml:space="preserve">Report allowed to export</t>
  </si>
  <si>
    <t xml:space="preserve">1. Export CSV
2. Open the file
3. Export history</t>
  </si>
  <si>
    <t xml:space="preserve">First lines: classification, report and version, organization, exported by, UTC time, export ID, filters, rows; history row with the same data.</t>
  </si>
  <si>
    <t xml:space="preserve">ACD-005</t>
  </si>
  <si>
    <t xml:space="preserve">Formula-looking text is neutralised</t>
  </si>
  <si>
    <t xml:space="preserve">Security</t>
  </si>
  <si>
    <t xml:space="preserve">Asset named =1+1</t>
  </si>
  <si>
    <t xml:space="preserve">1. Export Complete Asset Register</t>
  </si>
  <si>
    <t xml:space="preserve">Asset name =1+1</t>
  </si>
  <si>
    <t xml:space="preserve">Cell shows '=1+1 as text in the spreadsheet.</t>
  </si>
  <si>
    <t xml:space="preserve">ACD-006</t>
  </si>
  <si>
    <t xml:space="preserve">Asset Reports -&gt; Settings</t>
  </si>
  <si>
    <t xml:space="preserve">Disable / classify / policy</t>
  </si>
  <si>
    <t xml:space="preserve">Asset Reports EDIT</t>
  </si>
  <si>
    <t xml:space="preserve">1. Disable a report
2. Set classification below default
3. Set policy Disabled</t>
  </si>
  <si>
    <t xml:space="preserve">1: cannot run (53104). 2: refused (53108). 3: Export button hidden; export refused.</t>
  </si>
  <si>
    <t xml:space="preserve">ACD-007</t>
  </si>
  <si>
    <t xml:space="preserve">Asset Reports -&gt; Schedules</t>
  </si>
  <si>
    <t xml:space="preserve">Create schedule with distribution list</t>
  </si>
  <si>
    <t xml:space="preserve">EDIT; employees and a role</t>
  </si>
  <si>
    <t xml:space="preserve">1. New schedule weekly Monday, keep 30 days, employee + role
2. Save</t>
  </si>
  <si>
    <t xml:space="preserve">Next run = coming Monday (today if Monday); recipients listed.</t>
  </si>
  <si>
    <t xml:space="preserve">ACD-008</t>
  </si>
  <si>
    <t xml:space="preserve">Validation of schedule</t>
  </si>
  <si>
    <t xml:space="preserve">1. Save without recipients
2. Monthly day 29</t>
  </si>
  <si>
    <t xml:space="preserve">Refused (53125, 53124).</t>
  </si>
  <si>
    <t xml:space="preserve">ACD-009</t>
  </si>
  <si>
    <t xml:space="preserve">Run now and distribution result</t>
  </si>
  <si>
    <t xml:space="preserve">Schedule with one permitted and one refused recipient</t>
  </si>
  <si>
    <t xml:space="preserve">1. Run now
2. Deliveries -&gt; Recipients</t>
  </si>
  <si>
    <t xml:space="preserve">Permitted DELIVERED with rows; refused SKIPPED with the reason (e.g. No VIEW permission on Asset Reports).</t>
  </si>
  <si>
    <t xml:space="preserve">ACD-010</t>
  </si>
  <si>
    <t xml:space="preserve">Asset Reports -&gt; My deliveries</t>
  </si>
  <si>
    <t xml:space="preserve">Recipient downloads</t>
  </si>
  <si>
    <t xml:space="preserve">Delivered file</t>
  </si>
  <si>
    <t xml:space="preserve">1. As the recipient open My deliveries
2. Download</t>
  </si>
  <si>
    <t xml:space="preserve">CSV with watermark and Generated at line; download recorded in Export history; download count 1.</t>
  </si>
  <si>
    <t xml:space="preserve">ACD-011</t>
  </si>
  <si>
    <t xml:space="preserve">Download re-checked</t>
  </si>
  <si>
    <t xml:space="preserve">Delivered file; then remove the recipient report screen VIEW and re-login</t>
  </si>
  <si>
    <t xml:space="preserve">1. Download</t>
  </si>
  <si>
    <t xml:space="preserve">Refused (403, 53129).</t>
  </si>
  <si>
    <t xml:space="preserve">ACD-012</t>
  </si>
  <si>
    <t xml:space="preserve">Background worker</t>
  </si>
  <si>
    <t xml:space="preserve">Scheduled delivery once per day</t>
  </si>
  <si>
    <t xml:space="preserve">API running, AssetReportDeliveryEnabled = true</t>
  </si>
  <si>
    <t xml:space="preserve">1. Schedule due today
2. Wait for the pass (&lt;= 60 min)
3. Wait for the next pass</t>
  </si>
  <si>
    <t xml:space="preserve">One delivery started SCHEDULED; the next pass the same day starts nothing.</t>
  </si>
  <si>
    <t xml:space="preserve">ACD-013</t>
  </si>
  <si>
    <t xml:space="preserve">Retention removes files</t>
  </si>
  <si>
    <t xml:space="preserve">Schedule kept 1 day</t>
  </si>
  <si>
    <t xml:space="preserve">1. Next day after the pass open My deliveries</t>
  </si>
  <si>
    <t xml:space="preserve">File shown as Removed (retention); distribution result kept.</t>
  </si>
  <si>
    <t xml:space="preserve">Asset &amp; Contract -- regression of every screen</t>
  </si>
  <si>
    <t xml:space="preserve">Smoke pass after each deployment: every screen loads for the organization, lists page, the organization picker remembers the last choice.</t>
  </si>
  <si>
    <t xml:space="preserve">ACX-001</t>
  </si>
  <si>
    <t xml:space="preserve">Dashboard</t>
  </si>
  <si>
    <t xml:space="preserve">Screen loads, lists and pages</t>
  </si>
  <si>
    <t xml:space="preserve">Regression</t>
  </si>
  <si>
    <t xml:space="preserve">Organization with data</t>
  </si>
  <si>
    <t xml:space="preserve">1. Open the screen
2. Change organization
3. Page / search the main list</t>
  </si>
  <si>
    <t xml:space="preserve">No error banner; rows for the chosen organization; the picker keeps the last organization.</t>
  </si>
  <si>
    <t xml:space="preserve">ACX-002</t>
  </si>
  <si>
    <t xml:space="preserve">ACX-003</t>
  </si>
  <si>
    <t xml:space="preserve">Field Dictionary</t>
  </si>
  <si>
    <t xml:space="preserve">ACX-004</t>
  </si>
  <si>
    <t xml:space="preserve">Form Templates</t>
  </si>
  <si>
    <t xml:space="preserve">ACX-005</t>
  </si>
  <si>
    <t xml:space="preserve">Valuation Configuration</t>
  </si>
  <si>
    <t xml:space="preserve">ACX-006</t>
  </si>
  <si>
    <t xml:space="preserve">Option Lists</t>
  </si>
  <si>
    <t xml:space="preserve">ACX-007</t>
  </si>
  <si>
    <t xml:space="preserve">Taxonomy</t>
  </si>
  <si>
    <t xml:space="preserve">ACX-008</t>
  </si>
  <si>
    <t xml:space="preserve">ACX-009</t>
  </si>
  <si>
    <t xml:space="preserve">ACX-010</t>
  </si>
  <si>
    <t xml:space="preserve">ACX-011</t>
  </si>
  <si>
    <t xml:space="preserve">ACX-012</t>
  </si>
  <si>
    <t xml:space="preserve">ACX-013</t>
  </si>
  <si>
    <t xml:space="preserve">ACX-014</t>
  </si>
  <si>
    <t xml:space="preserve">Business Services</t>
  </si>
  <si>
    <t xml:space="preserve">ACX-015</t>
  </si>
  <si>
    <t xml:space="preserve">ACX-016</t>
  </si>
  <si>
    <t xml:space="preserve">ACX-017</t>
  </si>
  <si>
    <t xml:space="preserve">ACX-018</t>
  </si>
  <si>
    <t xml:space="preserve">ACX-019</t>
  </si>
  <si>
    <t xml:space="preserve">Database</t>
  </si>
  <si>
    <t xml:space="preserve">Migration verification blocks</t>
  </si>
  <si>
    <t xml:space="preserve">Deployment</t>
  </si>
  <si>
    <t xml:space="preserve">1. Run 420-453 in order
2. Read each verification block</t>
  </si>
  <si>
    <t xml:space="preserve">Every verification row PASS.</t>
  </si>
  <si>
    <t xml:space="preserve">ACX-020</t>
  </si>
  <si>
    <t xml:space="preserve">Regression test script</t>
  </si>
  <si>
    <t xml:space="preserve">UAT database</t>
  </si>
  <si>
    <t xml:space="preserve">1. Set @confirm = 1 in 17_Asset_Contract_Regression_Tests.sql and run</t>
  </si>
  <si>
    <t xml:space="preserve">All tests PASS (SKIPPED only where the organization lacks a permitted / refused employee); test data removed.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</si>
</sst>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44546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6" min="3" style="0" width="10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9" customFormat="false" ht="15" hidden="false" customHeight="false" outlineLevel="0" collapsed="false">
      <c r="A9" s="4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4" customFormat="false" ht="15" hidden="false" customHeight="false" outlineLevel="0" collapsed="false">
      <c r="A14" s="4" t="s">
        <v>18</v>
      </c>
    </row>
    <row r="15" customFormat="false" ht="15" hidden="false" customHeight="false" outlineLevel="0" collapsed="false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</row>
    <row r="16" customFormat="false" ht="15" hidden="false" customHeight="false" outlineLevel="0" collapsed="false">
      <c r="A16" s="6" t="s">
        <v>25</v>
      </c>
      <c r="B16" s="6" t="n">
        <f aca="false">COUNTA('AC Permissions'!A4:A500)</f>
        <v>18</v>
      </c>
      <c r="C16" s="6" t="n">
        <f aca="false">COUNTIF('AC Permissions'!J4:J500,"Pass")</f>
        <v>0</v>
      </c>
      <c r="D16" s="6" t="n">
        <f aca="false">COUNTIF('AC Permissions'!J4:J500,"Fail")</f>
        <v>0</v>
      </c>
      <c r="E16" s="6" t="n">
        <f aca="false">COUNTIF('AC Permissions'!J4:J500,"Blocked")</f>
        <v>0</v>
      </c>
      <c r="F16" s="6" t="n">
        <f aca="false">B16-C16-D16-E16</f>
        <v>18</v>
      </c>
    </row>
    <row r="17" customFormat="false" ht="15" hidden="false" customHeight="false" outlineLevel="0" collapsed="false">
      <c r="A17" s="6" t="s">
        <v>26</v>
      </c>
      <c r="B17" s="6" t="n">
        <f aca="false">COUNTA('AC Workflows'!A4:A500)</f>
        <v>13</v>
      </c>
      <c r="C17" s="6" t="n">
        <f aca="false">COUNTIF('AC Workflows'!J4:J500,"Pass")</f>
        <v>0</v>
      </c>
      <c r="D17" s="6" t="n">
        <f aca="false">COUNTIF('AC Workflows'!J4:J500,"Fail")</f>
        <v>0</v>
      </c>
      <c r="E17" s="6" t="n">
        <f aca="false">COUNTIF('AC Workflows'!J4:J500,"Blocked")</f>
        <v>0</v>
      </c>
      <c r="F17" s="6" t="n">
        <f aca="false">B17-C17-D17-E17</f>
        <v>13</v>
      </c>
    </row>
    <row r="18" customFormat="false" ht="15" hidden="false" customHeight="false" outlineLevel="0" collapsed="false">
      <c r="A18" s="6" t="s">
        <v>27</v>
      </c>
      <c r="B18" s="6" t="n">
        <f aca="false">COUNTA('AC Reconciliation'!A4:A500)</f>
        <v>10</v>
      </c>
      <c r="C18" s="6" t="n">
        <f aca="false">COUNTIF('AC Reconciliation'!J4:J500,"Pass")</f>
        <v>0</v>
      </c>
      <c r="D18" s="6" t="n">
        <f aca="false">COUNTIF('AC Reconciliation'!J4:J500,"Fail")</f>
        <v>0</v>
      </c>
      <c r="E18" s="6" t="n">
        <f aca="false">COUNTIF('AC Reconciliation'!J4:J500,"Blocked")</f>
        <v>0</v>
      </c>
      <c r="F18" s="6" t="n">
        <f aca="false">B18-C18-D18-E18</f>
        <v>10</v>
      </c>
    </row>
    <row r="19" customFormat="false" ht="15" hidden="false" customHeight="false" outlineLevel="0" collapsed="false">
      <c r="A19" s="6" t="s">
        <v>28</v>
      </c>
      <c r="B19" s="6" t="n">
        <f aca="false">COUNTA('AC Reports &amp; Delivery'!A4:A500)</f>
        <v>13</v>
      </c>
      <c r="C19" s="6" t="n">
        <f aca="false">COUNTIF('AC Reports &amp; Delivery'!J4:J500,"Pass")</f>
        <v>0</v>
      </c>
      <c r="D19" s="6" t="n">
        <f aca="false">COUNTIF('AC Reports &amp; Delivery'!J4:J500,"Fail")</f>
        <v>0</v>
      </c>
      <c r="E19" s="6" t="n">
        <f aca="false">COUNTIF('AC Reports &amp; Delivery'!J4:J500,"Blocked")</f>
        <v>0</v>
      </c>
      <c r="F19" s="6" t="n">
        <f aca="false">B19-C19-D19-E19</f>
        <v>13</v>
      </c>
    </row>
    <row r="20" customFormat="false" ht="15" hidden="false" customHeight="false" outlineLevel="0" collapsed="false">
      <c r="A20" s="6" t="s">
        <v>29</v>
      </c>
      <c r="B20" s="6" t="n">
        <f aca="false">COUNTA('AC Regression'!A4:A500)</f>
        <v>20</v>
      </c>
      <c r="C20" s="6" t="n">
        <f aca="false">COUNTIF('AC Regression'!J4:J500,"Pass")</f>
        <v>0</v>
      </c>
      <c r="D20" s="6" t="n">
        <f aca="false">COUNTIF('AC Regression'!J4:J500,"Fail")</f>
        <v>0</v>
      </c>
      <c r="E20" s="6" t="n">
        <f aca="false">COUNTIF('AC Regression'!J4:J500,"Blocked")</f>
        <v>0</v>
      </c>
      <c r="F20" s="6" t="n">
        <f aca="false">B20-C20-D20-E20</f>
        <v>20</v>
      </c>
    </row>
    <row r="21" customFormat="false" ht="15" hidden="false" customHeight="false" outlineLevel="0" collapsed="false">
      <c r="A21" s="2" t="s">
        <v>30</v>
      </c>
      <c r="B21" s="7" t="n">
        <f aca="false">SUM(B16:B20)</f>
        <v>74</v>
      </c>
      <c r="C21" s="7" t="n">
        <f aca="false">SUM(C16:C20)</f>
        <v>0</v>
      </c>
      <c r="D21" s="7" t="n">
        <f aca="false">SUM(D16:D20)</f>
        <v>0</v>
      </c>
      <c r="E21" s="7" t="n">
        <f aca="false">SUM(E16:E20)</f>
        <v>0</v>
      </c>
      <c r="F21" s="7" t="n">
        <f aca="false">SUM(F16:F20)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8" t="s">
        <v>31</v>
      </c>
    </row>
    <row r="2" customFormat="false" ht="30" hidden="false" customHeight="true" outlineLevel="0" collapsed="false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10" t="s">
        <v>33</v>
      </c>
      <c r="B3" s="10" t="s">
        <v>34</v>
      </c>
      <c r="C3" s="10" t="s">
        <v>35</v>
      </c>
      <c r="D3" s="10" t="s">
        <v>12</v>
      </c>
      <c r="E3" s="10" t="s">
        <v>14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16</v>
      </c>
      <c r="K3" s="10" t="s">
        <v>40</v>
      </c>
    </row>
    <row r="4" customFormat="false" ht="35.05" hidden="false" customHeight="false" outlineLevel="0" collapsed="false">
      <c r="A4" s="11" t="s">
        <v>41</v>
      </c>
      <c r="B4" s="12" t="s">
        <v>42</v>
      </c>
      <c r="C4" s="12" t="s">
        <v>43</v>
      </c>
      <c r="D4" s="12" t="s">
        <v>44</v>
      </c>
      <c r="E4" s="13" t="s">
        <v>45</v>
      </c>
      <c r="F4" s="12" t="s">
        <v>46</v>
      </c>
      <c r="G4" s="12" t="s">
        <v>47</v>
      </c>
      <c r="H4" s="12" t="s">
        <v>48</v>
      </c>
      <c r="I4" s="12" t="s">
        <v>49</v>
      </c>
      <c r="J4" s="12"/>
      <c r="K4" s="12"/>
    </row>
    <row r="5" customFormat="false" ht="35.05" hidden="false" customHeight="false" outlineLevel="0" collapsed="false">
      <c r="A5" s="11" t="s">
        <v>50</v>
      </c>
      <c r="B5" s="12" t="s">
        <v>42</v>
      </c>
      <c r="C5" s="12" t="s">
        <v>51</v>
      </c>
      <c r="D5" s="12" t="s">
        <v>52</v>
      </c>
      <c r="E5" s="13" t="s">
        <v>45</v>
      </c>
      <c r="F5" s="12" t="s">
        <v>53</v>
      </c>
      <c r="G5" s="12" t="s">
        <v>54</v>
      </c>
      <c r="H5" s="12" t="s">
        <v>55</v>
      </c>
      <c r="I5" s="12" t="s">
        <v>56</v>
      </c>
      <c r="J5" s="12"/>
      <c r="K5" s="12"/>
    </row>
    <row r="6" customFormat="false" ht="23.85" hidden="false" customHeight="false" outlineLevel="0" collapsed="false">
      <c r="A6" s="11" t="s">
        <v>57</v>
      </c>
      <c r="B6" s="12" t="s">
        <v>58</v>
      </c>
      <c r="C6" s="12" t="s">
        <v>59</v>
      </c>
      <c r="D6" s="12" t="s">
        <v>44</v>
      </c>
      <c r="E6" s="13" t="s">
        <v>45</v>
      </c>
      <c r="F6" s="12" t="s">
        <v>60</v>
      </c>
      <c r="G6" s="12" t="s">
        <v>61</v>
      </c>
      <c r="H6" s="12" t="s">
        <v>62</v>
      </c>
      <c r="I6" s="12" t="s">
        <v>63</v>
      </c>
      <c r="J6" s="12"/>
      <c r="K6" s="12"/>
    </row>
    <row r="7" customFormat="false" ht="35.05" hidden="false" customHeight="false" outlineLevel="0" collapsed="false">
      <c r="A7" s="11" t="s">
        <v>64</v>
      </c>
      <c r="B7" s="12" t="s">
        <v>58</v>
      </c>
      <c r="C7" s="12" t="s">
        <v>65</v>
      </c>
      <c r="D7" s="12" t="s">
        <v>44</v>
      </c>
      <c r="E7" s="13" t="s">
        <v>45</v>
      </c>
      <c r="F7" s="12" t="s">
        <v>66</v>
      </c>
      <c r="G7" s="12" t="s">
        <v>67</v>
      </c>
      <c r="H7" s="12" t="s">
        <v>62</v>
      </c>
      <c r="I7" s="12" t="s">
        <v>68</v>
      </c>
      <c r="J7" s="12"/>
      <c r="K7" s="12"/>
    </row>
    <row r="8" customFormat="false" ht="23.85" hidden="false" customHeight="false" outlineLevel="0" collapsed="false">
      <c r="A8" s="11" t="s">
        <v>69</v>
      </c>
      <c r="B8" s="12" t="s">
        <v>58</v>
      </c>
      <c r="C8" s="12" t="s">
        <v>70</v>
      </c>
      <c r="D8" s="12" t="s">
        <v>44</v>
      </c>
      <c r="E8" s="14" t="s">
        <v>71</v>
      </c>
      <c r="F8" s="12" t="s">
        <v>72</v>
      </c>
      <c r="G8" s="12" t="s">
        <v>73</v>
      </c>
      <c r="H8" s="12" t="s">
        <v>62</v>
      </c>
      <c r="I8" s="12" t="s">
        <v>74</v>
      </c>
      <c r="J8" s="12"/>
      <c r="K8" s="12"/>
    </row>
    <row r="9" customFormat="false" ht="35.05" hidden="false" customHeight="false" outlineLevel="0" collapsed="false">
      <c r="A9" s="11" t="s">
        <v>75</v>
      </c>
      <c r="B9" s="12" t="s">
        <v>76</v>
      </c>
      <c r="C9" s="12" t="s">
        <v>77</v>
      </c>
      <c r="D9" s="12" t="s">
        <v>44</v>
      </c>
      <c r="E9" s="13" t="s">
        <v>45</v>
      </c>
      <c r="F9" s="12" t="s">
        <v>78</v>
      </c>
      <c r="G9" s="12" t="s">
        <v>79</v>
      </c>
      <c r="H9" s="12" t="s">
        <v>62</v>
      </c>
      <c r="I9" s="12" t="s">
        <v>80</v>
      </c>
      <c r="J9" s="12"/>
      <c r="K9" s="12"/>
    </row>
    <row r="10" customFormat="false" ht="46.25" hidden="false" customHeight="false" outlineLevel="0" collapsed="false">
      <c r="A10" s="11" t="s">
        <v>81</v>
      </c>
      <c r="B10" s="12" t="s">
        <v>76</v>
      </c>
      <c r="C10" s="12" t="s">
        <v>82</v>
      </c>
      <c r="D10" s="12" t="s">
        <v>44</v>
      </c>
      <c r="E10" s="13" t="s">
        <v>45</v>
      </c>
      <c r="F10" s="12" t="s">
        <v>83</v>
      </c>
      <c r="G10" s="12" t="s">
        <v>84</v>
      </c>
      <c r="H10" s="12" t="s">
        <v>62</v>
      </c>
      <c r="I10" s="12" t="s">
        <v>85</v>
      </c>
      <c r="J10" s="12"/>
      <c r="K10" s="12"/>
    </row>
    <row r="11" customFormat="false" ht="23.85" hidden="false" customHeight="false" outlineLevel="0" collapsed="false">
      <c r="A11" s="11" t="s">
        <v>86</v>
      </c>
      <c r="B11" s="12" t="s">
        <v>87</v>
      </c>
      <c r="C11" s="12" t="s">
        <v>88</v>
      </c>
      <c r="D11" s="12" t="s">
        <v>89</v>
      </c>
      <c r="E11" s="13" t="s">
        <v>45</v>
      </c>
      <c r="F11" s="12" t="s">
        <v>90</v>
      </c>
      <c r="G11" s="12" t="s">
        <v>91</v>
      </c>
      <c r="H11" s="12" t="s">
        <v>62</v>
      </c>
      <c r="I11" s="12" t="s">
        <v>92</v>
      </c>
      <c r="J11" s="12"/>
      <c r="K11" s="12"/>
    </row>
    <row r="12" customFormat="false" ht="23.85" hidden="false" customHeight="false" outlineLevel="0" collapsed="false">
      <c r="A12" s="11" t="s">
        <v>93</v>
      </c>
      <c r="B12" s="12" t="s">
        <v>87</v>
      </c>
      <c r="C12" s="12" t="s">
        <v>94</v>
      </c>
      <c r="D12" s="12" t="s">
        <v>89</v>
      </c>
      <c r="E12" s="14" t="s">
        <v>71</v>
      </c>
      <c r="F12" s="12" t="s">
        <v>95</v>
      </c>
      <c r="G12" s="12" t="s">
        <v>96</v>
      </c>
      <c r="H12" s="12" t="s">
        <v>62</v>
      </c>
      <c r="I12" s="12" t="s">
        <v>97</v>
      </c>
      <c r="J12" s="12"/>
      <c r="K12" s="12"/>
    </row>
    <row r="13" customFormat="false" ht="35.05" hidden="false" customHeight="false" outlineLevel="0" collapsed="false">
      <c r="A13" s="11" t="s">
        <v>98</v>
      </c>
      <c r="B13" s="12" t="s">
        <v>99</v>
      </c>
      <c r="C13" s="12" t="s">
        <v>100</v>
      </c>
      <c r="D13" s="12" t="s">
        <v>89</v>
      </c>
      <c r="E13" s="13" t="s">
        <v>45</v>
      </c>
      <c r="F13" s="12" t="s">
        <v>101</v>
      </c>
      <c r="G13" s="12" t="s">
        <v>102</v>
      </c>
      <c r="H13" s="12" t="s">
        <v>62</v>
      </c>
      <c r="I13" s="12" t="s">
        <v>103</v>
      </c>
      <c r="J13" s="12"/>
      <c r="K13" s="12"/>
    </row>
    <row r="14" customFormat="false" ht="35.05" hidden="false" customHeight="false" outlineLevel="0" collapsed="false">
      <c r="A14" s="11" t="s">
        <v>104</v>
      </c>
      <c r="B14" s="12" t="s">
        <v>105</v>
      </c>
      <c r="C14" s="12" t="s">
        <v>106</v>
      </c>
      <c r="D14" s="12" t="s">
        <v>44</v>
      </c>
      <c r="E14" s="13" t="s">
        <v>45</v>
      </c>
      <c r="F14" s="12" t="s">
        <v>107</v>
      </c>
      <c r="G14" s="12" t="s">
        <v>108</v>
      </c>
      <c r="H14" s="12" t="s">
        <v>62</v>
      </c>
      <c r="I14" s="12" t="s">
        <v>109</v>
      </c>
      <c r="J14" s="12"/>
      <c r="K14" s="12"/>
    </row>
    <row r="15" customFormat="false" ht="35.05" hidden="false" customHeight="false" outlineLevel="0" collapsed="false">
      <c r="A15" s="11" t="s">
        <v>110</v>
      </c>
      <c r="B15" s="12" t="s">
        <v>111</v>
      </c>
      <c r="C15" s="12" t="s">
        <v>112</v>
      </c>
      <c r="D15" s="12" t="s">
        <v>44</v>
      </c>
      <c r="E15" s="13" t="s">
        <v>45</v>
      </c>
      <c r="F15" s="12" t="s">
        <v>113</v>
      </c>
      <c r="G15" s="12" t="s">
        <v>114</v>
      </c>
      <c r="H15" s="12" t="s">
        <v>62</v>
      </c>
      <c r="I15" s="12" t="s">
        <v>115</v>
      </c>
      <c r="J15" s="12"/>
      <c r="K15" s="12"/>
    </row>
    <row r="16" customFormat="false" ht="35.05" hidden="false" customHeight="false" outlineLevel="0" collapsed="false">
      <c r="A16" s="11" t="s">
        <v>116</v>
      </c>
      <c r="B16" s="12" t="s">
        <v>117</v>
      </c>
      <c r="C16" s="12" t="s">
        <v>118</v>
      </c>
      <c r="D16" s="12" t="s">
        <v>44</v>
      </c>
      <c r="E16" s="13" t="s">
        <v>45</v>
      </c>
      <c r="F16" s="12" t="s">
        <v>119</v>
      </c>
      <c r="G16" s="12" t="s">
        <v>120</v>
      </c>
      <c r="H16" s="12" t="s">
        <v>62</v>
      </c>
      <c r="I16" s="12" t="s">
        <v>121</v>
      </c>
      <c r="J16" s="12"/>
      <c r="K16" s="12"/>
    </row>
    <row r="17" customFormat="false" ht="23.85" hidden="false" customHeight="false" outlineLevel="0" collapsed="false">
      <c r="A17" s="11" t="s">
        <v>122</v>
      </c>
      <c r="B17" s="12" t="s">
        <v>123</v>
      </c>
      <c r="C17" s="12" t="s">
        <v>124</v>
      </c>
      <c r="D17" s="12" t="s">
        <v>44</v>
      </c>
      <c r="E17" s="14" t="s">
        <v>71</v>
      </c>
      <c r="F17" s="12" t="s">
        <v>125</v>
      </c>
      <c r="G17" s="12" t="s">
        <v>126</v>
      </c>
      <c r="H17" s="12" t="s">
        <v>62</v>
      </c>
      <c r="I17" s="12" t="s">
        <v>127</v>
      </c>
      <c r="J17" s="12"/>
      <c r="K17" s="12"/>
    </row>
    <row r="18" customFormat="false" ht="35.05" hidden="false" customHeight="false" outlineLevel="0" collapsed="false">
      <c r="A18" s="11" t="s">
        <v>128</v>
      </c>
      <c r="B18" s="12" t="s">
        <v>129</v>
      </c>
      <c r="C18" s="12" t="s">
        <v>130</v>
      </c>
      <c r="D18" s="12" t="s">
        <v>44</v>
      </c>
      <c r="E18" s="13" t="s">
        <v>45</v>
      </c>
      <c r="F18" s="12" t="s">
        <v>131</v>
      </c>
      <c r="G18" s="12" t="s">
        <v>132</v>
      </c>
      <c r="H18" s="12" t="s">
        <v>62</v>
      </c>
      <c r="I18" s="12" t="s">
        <v>133</v>
      </c>
      <c r="J18" s="12"/>
      <c r="K18" s="12"/>
    </row>
    <row r="19" customFormat="false" ht="23.85" hidden="false" customHeight="false" outlineLevel="0" collapsed="false">
      <c r="A19" s="11" t="s">
        <v>134</v>
      </c>
      <c r="B19" s="12" t="s">
        <v>135</v>
      </c>
      <c r="C19" s="12" t="s">
        <v>136</v>
      </c>
      <c r="D19" s="12" t="s">
        <v>44</v>
      </c>
      <c r="E19" s="13" t="s">
        <v>45</v>
      </c>
      <c r="F19" s="12" t="s">
        <v>137</v>
      </c>
      <c r="G19" s="12" t="s">
        <v>138</v>
      </c>
      <c r="H19" s="12" t="s">
        <v>62</v>
      </c>
      <c r="I19" s="12" t="s">
        <v>139</v>
      </c>
      <c r="J19" s="12"/>
      <c r="K19" s="12"/>
    </row>
    <row r="20" customFormat="false" ht="35.05" hidden="false" customHeight="false" outlineLevel="0" collapsed="false">
      <c r="A20" s="11" t="s">
        <v>140</v>
      </c>
      <c r="B20" s="12" t="s">
        <v>135</v>
      </c>
      <c r="C20" s="12" t="s">
        <v>141</v>
      </c>
      <c r="D20" s="12" t="s">
        <v>44</v>
      </c>
      <c r="E20" s="13" t="s">
        <v>45</v>
      </c>
      <c r="F20" s="12" t="s">
        <v>142</v>
      </c>
      <c r="G20" s="12" t="s">
        <v>143</v>
      </c>
      <c r="H20" s="12" t="s">
        <v>62</v>
      </c>
      <c r="I20" s="12" t="s">
        <v>144</v>
      </c>
      <c r="J20" s="12"/>
      <c r="K20" s="12"/>
    </row>
    <row r="21" customFormat="false" ht="23.85" hidden="false" customHeight="false" outlineLevel="0" collapsed="false">
      <c r="A21" s="11" t="s">
        <v>145</v>
      </c>
      <c r="B21" s="12" t="s">
        <v>135</v>
      </c>
      <c r="C21" s="12" t="s">
        <v>146</v>
      </c>
      <c r="D21" s="12" t="s">
        <v>147</v>
      </c>
      <c r="E21" s="13" t="s">
        <v>45</v>
      </c>
      <c r="F21" s="12" t="s">
        <v>148</v>
      </c>
      <c r="G21" s="12" t="s">
        <v>149</v>
      </c>
      <c r="H21" s="12" t="s">
        <v>62</v>
      </c>
      <c r="I21" s="12" t="s">
        <v>150</v>
      </c>
      <c r="J21" s="12"/>
      <c r="K21" s="12"/>
    </row>
  </sheetData>
  <autoFilter ref="A3:K21"/>
  <mergeCells count="1">
    <mergeCell ref="A2:K2"/>
  </mergeCells>
  <dataValidations count="1">
    <dataValidation allowBlank="true" errorStyle="stop" operator="between" showDropDown="false" showErrorMessage="false" showInputMessage="false" sqref="J4:J21" type="list">
      <formula1>"Pass,Fail,Blocked"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8" t="s">
        <v>151</v>
      </c>
    </row>
    <row r="2" customFormat="false" ht="30" hidden="false" customHeight="true" outlineLevel="0" collapsed="false">
      <c r="A2" s="9" t="s">
        <v>152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10" t="s">
        <v>33</v>
      </c>
      <c r="B3" s="10" t="s">
        <v>34</v>
      </c>
      <c r="C3" s="10" t="s">
        <v>35</v>
      </c>
      <c r="D3" s="10" t="s">
        <v>12</v>
      </c>
      <c r="E3" s="10" t="s">
        <v>14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16</v>
      </c>
      <c r="K3" s="10" t="s">
        <v>40</v>
      </c>
    </row>
    <row r="4" customFormat="false" ht="35.05" hidden="false" customHeight="false" outlineLevel="0" collapsed="false">
      <c r="A4" s="11" t="s">
        <v>153</v>
      </c>
      <c r="B4" s="12" t="s">
        <v>58</v>
      </c>
      <c r="C4" s="12" t="s">
        <v>154</v>
      </c>
      <c r="D4" s="12" t="s">
        <v>155</v>
      </c>
      <c r="E4" s="13" t="s">
        <v>45</v>
      </c>
      <c r="F4" s="12" t="s">
        <v>156</v>
      </c>
      <c r="G4" s="12" t="s">
        <v>157</v>
      </c>
      <c r="H4" s="12" t="s">
        <v>158</v>
      </c>
      <c r="I4" s="12" t="s">
        <v>159</v>
      </c>
      <c r="J4" s="12"/>
      <c r="K4" s="12"/>
    </row>
    <row r="5" customFormat="false" ht="35.05" hidden="false" customHeight="false" outlineLevel="0" collapsed="false">
      <c r="A5" s="11" t="s">
        <v>160</v>
      </c>
      <c r="B5" s="12" t="s">
        <v>58</v>
      </c>
      <c r="C5" s="12" t="s">
        <v>161</v>
      </c>
      <c r="D5" s="12" t="s">
        <v>162</v>
      </c>
      <c r="E5" s="13" t="s">
        <v>45</v>
      </c>
      <c r="F5" s="12" t="s">
        <v>163</v>
      </c>
      <c r="G5" s="12" t="s">
        <v>164</v>
      </c>
      <c r="H5" s="12" t="s">
        <v>62</v>
      </c>
      <c r="I5" s="12" t="s">
        <v>165</v>
      </c>
      <c r="J5" s="12"/>
      <c r="K5" s="12"/>
    </row>
    <row r="6" customFormat="false" ht="35.05" hidden="false" customHeight="false" outlineLevel="0" collapsed="false">
      <c r="A6" s="11" t="s">
        <v>166</v>
      </c>
      <c r="B6" s="12" t="s">
        <v>76</v>
      </c>
      <c r="C6" s="12" t="s">
        <v>167</v>
      </c>
      <c r="D6" s="12" t="s">
        <v>155</v>
      </c>
      <c r="E6" s="13" t="s">
        <v>45</v>
      </c>
      <c r="F6" s="12" t="s">
        <v>168</v>
      </c>
      <c r="G6" s="12" t="s">
        <v>169</v>
      </c>
      <c r="H6" s="12" t="s">
        <v>62</v>
      </c>
      <c r="I6" s="12" t="s">
        <v>170</v>
      </c>
      <c r="J6" s="12"/>
      <c r="K6" s="12"/>
    </row>
    <row r="7" customFormat="false" ht="35.05" hidden="false" customHeight="false" outlineLevel="0" collapsed="false">
      <c r="A7" s="11" t="s">
        <v>171</v>
      </c>
      <c r="B7" s="12" t="s">
        <v>76</v>
      </c>
      <c r="C7" s="12" t="s">
        <v>172</v>
      </c>
      <c r="D7" s="12" t="s">
        <v>155</v>
      </c>
      <c r="E7" s="13" t="s">
        <v>45</v>
      </c>
      <c r="F7" s="12" t="s">
        <v>173</v>
      </c>
      <c r="G7" s="12" t="s">
        <v>174</v>
      </c>
      <c r="H7" s="12" t="s">
        <v>62</v>
      </c>
      <c r="I7" s="12" t="s">
        <v>175</v>
      </c>
      <c r="J7" s="12"/>
      <c r="K7" s="12"/>
    </row>
    <row r="8" customFormat="false" ht="46.25" hidden="false" customHeight="false" outlineLevel="0" collapsed="false">
      <c r="A8" s="11" t="s">
        <v>176</v>
      </c>
      <c r="B8" s="12" t="s">
        <v>87</v>
      </c>
      <c r="C8" s="12" t="s">
        <v>177</v>
      </c>
      <c r="D8" s="12" t="s">
        <v>155</v>
      </c>
      <c r="E8" s="13" t="s">
        <v>45</v>
      </c>
      <c r="F8" s="12" t="s">
        <v>178</v>
      </c>
      <c r="G8" s="12" t="s">
        <v>179</v>
      </c>
      <c r="H8" s="12" t="s">
        <v>62</v>
      </c>
      <c r="I8" s="12" t="s">
        <v>180</v>
      </c>
      <c r="J8" s="12"/>
      <c r="K8" s="12"/>
    </row>
    <row r="9" customFormat="false" ht="23.85" hidden="false" customHeight="false" outlineLevel="0" collapsed="false">
      <c r="A9" s="11" t="s">
        <v>181</v>
      </c>
      <c r="B9" s="12" t="s">
        <v>87</v>
      </c>
      <c r="C9" s="12" t="s">
        <v>182</v>
      </c>
      <c r="D9" s="12" t="s">
        <v>155</v>
      </c>
      <c r="E9" s="14" t="s">
        <v>71</v>
      </c>
      <c r="F9" s="12" t="s">
        <v>183</v>
      </c>
      <c r="G9" s="12" t="s">
        <v>184</v>
      </c>
      <c r="H9" s="12" t="s">
        <v>62</v>
      </c>
      <c r="I9" s="12" t="s">
        <v>185</v>
      </c>
      <c r="J9" s="12"/>
      <c r="K9" s="12"/>
    </row>
    <row r="10" customFormat="false" ht="35.05" hidden="false" customHeight="false" outlineLevel="0" collapsed="false">
      <c r="A10" s="11" t="s">
        <v>186</v>
      </c>
      <c r="B10" s="12" t="s">
        <v>187</v>
      </c>
      <c r="C10" s="12" t="s">
        <v>188</v>
      </c>
      <c r="D10" s="12" t="s">
        <v>155</v>
      </c>
      <c r="E10" s="14" t="s">
        <v>71</v>
      </c>
      <c r="F10" s="12" t="s">
        <v>189</v>
      </c>
      <c r="G10" s="12" t="s">
        <v>190</v>
      </c>
      <c r="H10" s="12" t="s">
        <v>62</v>
      </c>
      <c r="I10" s="12" t="s">
        <v>191</v>
      </c>
      <c r="J10" s="12"/>
      <c r="K10" s="12"/>
    </row>
    <row r="11" customFormat="false" ht="23.85" hidden="false" customHeight="false" outlineLevel="0" collapsed="false">
      <c r="A11" s="11" t="s">
        <v>192</v>
      </c>
      <c r="B11" s="12" t="s">
        <v>193</v>
      </c>
      <c r="C11" s="12" t="s">
        <v>194</v>
      </c>
      <c r="D11" s="12" t="s">
        <v>155</v>
      </c>
      <c r="E11" s="14" t="s">
        <v>71</v>
      </c>
      <c r="F11" s="12" t="s">
        <v>195</v>
      </c>
      <c r="G11" s="12" t="s">
        <v>196</v>
      </c>
      <c r="H11" s="12" t="s">
        <v>62</v>
      </c>
      <c r="I11" s="12" t="s">
        <v>197</v>
      </c>
      <c r="J11" s="12"/>
      <c r="K11" s="12"/>
    </row>
    <row r="12" customFormat="false" ht="35.05" hidden="false" customHeight="false" outlineLevel="0" collapsed="false">
      <c r="A12" s="11" t="s">
        <v>198</v>
      </c>
      <c r="B12" s="12" t="s">
        <v>199</v>
      </c>
      <c r="C12" s="12" t="s">
        <v>200</v>
      </c>
      <c r="D12" s="12" t="s">
        <v>155</v>
      </c>
      <c r="E12" s="14" t="s">
        <v>71</v>
      </c>
      <c r="F12" s="12" t="s">
        <v>201</v>
      </c>
      <c r="G12" s="12" t="s">
        <v>202</v>
      </c>
      <c r="H12" s="12" t="s">
        <v>62</v>
      </c>
      <c r="I12" s="12" t="s">
        <v>203</v>
      </c>
      <c r="J12" s="12"/>
      <c r="K12" s="12"/>
    </row>
    <row r="13" customFormat="false" ht="35.05" hidden="false" customHeight="false" outlineLevel="0" collapsed="false">
      <c r="A13" s="11" t="s">
        <v>204</v>
      </c>
      <c r="B13" s="12" t="s">
        <v>105</v>
      </c>
      <c r="C13" s="12" t="s">
        <v>205</v>
      </c>
      <c r="D13" s="12" t="s">
        <v>155</v>
      </c>
      <c r="E13" s="13" t="s">
        <v>45</v>
      </c>
      <c r="F13" s="12" t="s">
        <v>206</v>
      </c>
      <c r="G13" s="12" t="s">
        <v>207</v>
      </c>
      <c r="H13" s="12" t="s">
        <v>208</v>
      </c>
      <c r="I13" s="12" t="s">
        <v>209</v>
      </c>
      <c r="J13" s="12"/>
      <c r="K13" s="12"/>
    </row>
    <row r="14" customFormat="false" ht="35.05" hidden="false" customHeight="false" outlineLevel="0" collapsed="false">
      <c r="A14" s="11" t="s">
        <v>210</v>
      </c>
      <c r="B14" s="12" t="s">
        <v>111</v>
      </c>
      <c r="C14" s="12" t="s">
        <v>211</v>
      </c>
      <c r="D14" s="12" t="s">
        <v>155</v>
      </c>
      <c r="E14" s="13" t="s">
        <v>45</v>
      </c>
      <c r="F14" s="12" t="s">
        <v>212</v>
      </c>
      <c r="G14" s="12" t="s">
        <v>213</v>
      </c>
      <c r="H14" s="12" t="s">
        <v>62</v>
      </c>
      <c r="I14" s="12" t="s">
        <v>214</v>
      </c>
      <c r="J14" s="12"/>
      <c r="K14" s="12"/>
    </row>
    <row r="15" customFormat="false" ht="35.05" hidden="false" customHeight="false" outlineLevel="0" collapsed="false">
      <c r="A15" s="11" t="s">
        <v>215</v>
      </c>
      <c r="B15" s="12" t="s">
        <v>216</v>
      </c>
      <c r="C15" s="12" t="s">
        <v>217</v>
      </c>
      <c r="D15" s="12" t="s">
        <v>155</v>
      </c>
      <c r="E15" s="14" t="s">
        <v>71</v>
      </c>
      <c r="F15" s="12" t="s">
        <v>218</v>
      </c>
      <c r="G15" s="12" t="s">
        <v>219</v>
      </c>
      <c r="H15" s="12" t="s">
        <v>62</v>
      </c>
      <c r="I15" s="12" t="s">
        <v>220</v>
      </c>
      <c r="J15" s="12"/>
      <c r="K15" s="12"/>
    </row>
    <row r="16" customFormat="false" ht="35.05" hidden="false" customHeight="false" outlineLevel="0" collapsed="false">
      <c r="A16" s="11" t="s">
        <v>221</v>
      </c>
      <c r="B16" s="12" t="s">
        <v>222</v>
      </c>
      <c r="C16" s="12" t="s">
        <v>223</v>
      </c>
      <c r="D16" s="12" t="s">
        <v>155</v>
      </c>
      <c r="E16" s="13" t="s">
        <v>45</v>
      </c>
      <c r="F16" s="12" t="s">
        <v>224</v>
      </c>
      <c r="G16" s="12" t="s">
        <v>225</v>
      </c>
      <c r="H16" s="12" t="s">
        <v>62</v>
      </c>
      <c r="I16" s="12" t="s">
        <v>226</v>
      </c>
      <c r="J16" s="12"/>
      <c r="K16" s="12"/>
    </row>
  </sheetData>
  <autoFilter ref="A3:K16"/>
  <mergeCells count="1">
    <mergeCell ref="A2:K2"/>
  </mergeCells>
  <dataValidations count="1">
    <dataValidation allowBlank="true" errorStyle="stop" operator="between" showDropDown="false" showErrorMessage="false" showInputMessage="false" sqref="J4:J16" type="list">
      <formula1>"Pass,Fail,Blocked"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8" t="s">
        <v>227</v>
      </c>
    </row>
    <row r="2" customFormat="false" ht="30" hidden="false" customHeight="true" outlineLevel="0" collapsed="false">
      <c r="A2" s="9" t="s">
        <v>228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10" t="s">
        <v>33</v>
      </c>
      <c r="B3" s="10" t="s">
        <v>34</v>
      </c>
      <c r="C3" s="10" t="s">
        <v>35</v>
      </c>
      <c r="D3" s="10" t="s">
        <v>12</v>
      </c>
      <c r="E3" s="10" t="s">
        <v>14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16</v>
      </c>
      <c r="K3" s="10" t="s">
        <v>40</v>
      </c>
    </row>
    <row r="4" customFormat="false" ht="23.85" hidden="false" customHeight="false" outlineLevel="0" collapsed="false">
      <c r="A4" s="11" t="s">
        <v>229</v>
      </c>
      <c r="B4" s="12" t="s">
        <v>230</v>
      </c>
      <c r="C4" s="12" t="s">
        <v>231</v>
      </c>
      <c r="D4" s="12" t="s">
        <v>232</v>
      </c>
      <c r="E4" s="13" t="s">
        <v>45</v>
      </c>
      <c r="F4" s="12" t="s">
        <v>233</v>
      </c>
      <c r="G4" s="12" t="s">
        <v>234</v>
      </c>
      <c r="H4" s="12" t="s">
        <v>235</v>
      </c>
      <c r="I4" s="12" t="s">
        <v>236</v>
      </c>
      <c r="J4" s="12"/>
      <c r="K4" s="12"/>
    </row>
    <row r="5" customFormat="false" ht="35.05" hidden="false" customHeight="false" outlineLevel="0" collapsed="false">
      <c r="A5" s="11" t="s">
        <v>237</v>
      </c>
      <c r="B5" s="12" t="s">
        <v>238</v>
      </c>
      <c r="C5" s="12" t="s">
        <v>239</v>
      </c>
      <c r="D5" s="12" t="s">
        <v>232</v>
      </c>
      <c r="E5" s="13" t="s">
        <v>45</v>
      </c>
      <c r="F5" s="12" t="s">
        <v>240</v>
      </c>
      <c r="G5" s="12" t="s">
        <v>241</v>
      </c>
      <c r="H5" s="12" t="s">
        <v>62</v>
      </c>
      <c r="I5" s="12" t="s">
        <v>242</v>
      </c>
      <c r="J5" s="12"/>
      <c r="K5" s="12"/>
    </row>
    <row r="6" customFormat="false" ht="23.85" hidden="false" customHeight="false" outlineLevel="0" collapsed="false">
      <c r="A6" s="11" t="s">
        <v>243</v>
      </c>
      <c r="B6" s="12" t="s">
        <v>244</v>
      </c>
      <c r="C6" s="12" t="s">
        <v>245</v>
      </c>
      <c r="D6" s="12" t="s">
        <v>232</v>
      </c>
      <c r="E6" s="13" t="s">
        <v>45</v>
      </c>
      <c r="F6" s="12" t="s">
        <v>240</v>
      </c>
      <c r="G6" s="12" t="s">
        <v>246</v>
      </c>
      <c r="H6" s="12" t="s">
        <v>62</v>
      </c>
      <c r="I6" s="12" t="s">
        <v>247</v>
      </c>
      <c r="J6" s="12"/>
      <c r="K6" s="12"/>
    </row>
    <row r="7" customFormat="false" ht="35.05" hidden="false" customHeight="false" outlineLevel="0" collapsed="false">
      <c r="A7" s="11" t="s">
        <v>248</v>
      </c>
      <c r="B7" s="12" t="s">
        <v>249</v>
      </c>
      <c r="C7" s="12" t="s">
        <v>250</v>
      </c>
      <c r="D7" s="12" t="s">
        <v>232</v>
      </c>
      <c r="E7" s="13" t="s">
        <v>45</v>
      </c>
      <c r="F7" s="12" t="s">
        <v>62</v>
      </c>
      <c r="G7" s="12" t="s">
        <v>251</v>
      </c>
      <c r="H7" s="12" t="s">
        <v>62</v>
      </c>
      <c r="I7" s="12" t="s">
        <v>252</v>
      </c>
      <c r="J7" s="12"/>
      <c r="K7" s="12"/>
    </row>
    <row r="8" customFormat="false" ht="35.05" hidden="false" customHeight="false" outlineLevel="0" collapsed="false">
      <c r="A8" s="11" t="s">
        <v>253</v>
      </c>
      <c r="B8" s="12" t="s">
        <v>254</v>
      </c>
      <c r="C8" s="12" t="s">
        <v>255</v>
      </c>
      <c r="D8" s="12" t="s">
        <v>232</v>
      </c>
      <c r="E8" s="13" t="s">
        <v>45</v>
      </c>
      <c r="F8" s="12" t="s">
        <v>62</v>
      </c>
      <c r="G8" s="12" t="s">
        <v>256</v>
      </c>
      <c r="H8" s="12" t="s">
        <v>62</v>
      </c>
      <c r="I8" s="12" t="s">
        <v>257</v>
      </c>
      <c r="J8" s="12"/>
      <c r="K8" s="12"/>
    </row>
    <row r="9" customFormat="false" ht="35.05" hidden="false" customHeight="false" outlineLevel="0" collapsed="false">
      <c r="A9" s="11" t="s">
        <v>258</v>
      </c>
      <c r="B9" s="12" t="s">
        <v>259</v>
      </c>
      <c r="C9" s="12" t="s">
        <v>260</v>
      </c>
      <c r="D9" s="12" t="s">
        <v>232</v>
      </c>
      <c r="E9" s="13" t="s">
        <v>45</v>
      </c>
      <c r="F9" s="12" t="s">
        <v>62</v>
      </c>
      <c r="G9" s="12" t="s">
        <v>261</v>
      </c>
      <c r="H9" s="12" t="s">
        <v>62</v>
      </c>
      <c r="I9" s="12" t="s">
        <v>262</v>
      </c>
      <c r="J9" s="12"/>
      <c r="K9" s="12"/>
    </row>
    <row r="10" customFormat="false" ht="35.05" hidden="false" customHeight="false" outlineLevel="0" collapsed="false">
      <c r="A10" s="11" t="s">
        <v>263</v>
      </c>
      <c r="B10" s="12" t="s">
        <v>264</v>
      </c>
      <c r="C10" s="12" t="s">
        <v>265</v>
      </c>
      <c r="D10" s="12" t="s">
        <v>232</v>
      </c>
      <c r="E10" s="14" t="s">
        <v>71</v>
      </c>
      <c r="F10" s="12" t="s">
        <v>62</v>
      </c>
      <c r="G10" s="12" t="s">
        <v>266</v>
      </c>
      <c r="H10" s="12" t="s">
        <v>62</v>
      </c>
      <c r="I10" s="12" t="s">
        <v>267</v>
      </c>
      <c r="J10" s="12"/>
      <c r="K10" s="12"/>
    </row>
    <row r="11" customFormat="false" ht="23.85" hidden="false" customHeight="false" outlineLevel="0" collapsed="false">
      <c r="A11" s="11" t="s">
        <v>268</v>
      </c>
      <c r="B11" s="12" t="s">
        <v>222</v>
      </c>
      <c r="C11" s="12" t="s">
        <v>269</v>
      </c>
      <c r="D11" s="12" t="s">
        <v>232</v>
      </c>
      <c r="E11" s="13" t="s">
        <v>45</v>
      </c>
      <c r="F11" s="12" t="s">
        <v>270</v>
      </c>
      <c r="G11" s="12" t="s">
        <v>271</v>
      </c>
      <c r="H11" s="12" t="s">
        <v>62</v>
      </c>
      <c r="I11" s="12" t="s">
        <v>272</v>
      </c>
      <c r="J11" s="12"/>
      <c r="K11" s="12"/>
    </row>
    <row r="12" customFormat="false" ht="23.85" hidden="false" customHeight="false" outlineLevel="0" collapsed="false">
      <c r="A12" s="11" t="s">
        <v>273</v>
      </c>
      <c r="B12" s="12" t="s">
        <v>135</v>
      </c>
      <c r="C12" s="12" t="s">
        <v>274</v>
      </c>
      <c r="D12" s="12" t="s">
        <v>232</v>
      </c>
      <c r="E12" s="13" t="s">
        <v>45</v>
      </c>
      <c r="F12" s="12" t="s">
        <v>275</v>
      </c>
      <c r="G12" s="12" t="s">
        <v>276</v>
      </c>
      <c r="H12" s="12" t="s">
        <v>62</v>
      </c>
      <c r="I12" s="12" t="s">
        <v>277</v>
      </c>
      <c r="J12" s="12"/>
      <c r="K12" s="12"/>
    </row>
    <row r="13" customFormat="false" ht="35.05" hidden="false" customHeight="false" outlineLevel="0" collapsed="false">
      <c r="A13" s="11" t="s">
        <v>278</v>
      </c>
      <c r="B13" s="12" t="s">
        <v>135</v>
      </c>
      <c r="C13" s="12" t="s">
        <v>279</v>
      </c>
      <c r="D13" s="12" t="s">
        <v>232</v>
      </c>
      <c r="E13" s="14" t="s">
        <v>71</v>
      </c>
      <c r="F13" s="12" t="s">
        <v>280</v>
      </c>
      <c r="G13" s="12" t="s">
        <v>281</v>
      </c>
      <c r="H13" s="12" t="s">
        <v>62</v>
      </c>
      <c r="I13" s="12" t="s">
        <v>282</v>
      </c>
      <c r="J13" s="12"/>
      <c r="K13" s="12"/>
    </row>
  </sheetData>
  <autoFilter ref="A3:K13"/>
  <mergeCells count="1">
    <mergeCell ref="A2:K2"/>
  </mergeCells>
  <dataValidations count="1">
    <dataValidation allowBlank="true" errorStyle="stop" operator="between" showDropDown="false" showErrorMessage="false" showInputMessage="false" sqref="J4:J13" type="list">
      <formula1>"Pass,Fail,Blocked"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8" t="s">
        <v>283</v>
      </c>
    </row>
    <row r="2" customFormat="false" ht="30" hidden="false" customHeight="true" outlineLevel="0" collapsed="false">
      <c r="A2" s="9" t="s">
        <v>284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10" t="s">
        <v>33</v>
      </c>
      <c r="B3" s="10" t="s">
        <v>34</v>
      </c>
      <c r="C3" s="10" t="s">
        <v>35</v>
      </c>
      <c r="D3" s="10" t="s">
        <v>12</v>
      </c>
      <c r="E3" s="10" t="s">
        <v>14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16</v>
      </c>
      <c r="K3" s="10" t="s">
        <v>40</v>
      </c>
    </row>
    <row r="4" customFormat="false" ht="23.85" hidden="false" customHeight="false" outlineLevel="0" collapsed="false">
      <c r="A4" s="11" t="s">
        <v>285</v>
      </c>
      <c r="B4" s="12" t="s">
        <v>135</v>
      </c>
      <c r="C4" s="12" t="s">
        <v>286</v>
      </c>
      <c r="D4" s="12" t="s">
        <v>155</v>
      </c>
      <c r="E4" s="13" t="s">
        <v>45</v>
      </c>
      <c r="F4" s="12" t="s">
        <v>287</v>
      </c>
      <c r="G4" s="12" t="s">
        <v>288</v>
      </c>
      <c r="H4" s="12" t="s">
        <v>62</v>
      </c>
      <c r="I4" s="12" t="s">
        <v>289</v>
      </c>
      <c r="J4" s="12"/>
      <c r="K4" s="12"/>
    </row>
    <row r="5" customFormat="false" ht="35.05" hidden="false" customHeight="false" outlineLevel="0" collapsed="false">
      <c r="A5" s="11" t="s">
        <v>290</v>
      </c>
      <c r="B5" s="12" t="s">
        <v>135</v>
      </c>
      <c r="C5" s="12" t="s">
        <v>291</v>
      </c>
      <c r="D5" s="12" t="s">
        <v>155</v>
      </c>
      <c r="E5" s="13" t="s">
        <v>45</v>
      </c>
      <c r="F5" s="12" t="s">
        <v>62</v>
      </c>
      <c r="G5" s="12" t="s">
        <v>292</v>
      </c>
      <c r="H5" s="12" t="s">
        <v>62</v>
      </c>
      <c r="I5" s="12" t="s">
        <v>293</v>
      </c>
      <c r="J5" s="12"/>
      <c r="K5" s="12"/>
    </row>
    <row r="6" customFormat="false" ht="23.85" hidden="false" customHeight="false" outlineLevel="0" collapsed="false">
      <c r="A6" s="11" t="s">
        <v>294</v>
      </c>
      <c r="B6" s="12" t="s">
        <v>135</v>
      </c>
      <c r="C6" s="12" t="s">
        <v>295</v>
      </c>
      <c r="D6" s="12" t="s">
        <v>296</v>
      </c>
      <c r="E6" s="14" t="s">
        <v>71</v>
      </c>
      <c r="F6" s="12" t="s">
        <v>62</v>
      </c>
      <c r="G6" s="12" t="s">
        <v>297</v>
      </c>
      <c r="H6" s="12" t="s">
        <v>62</v>
      </c>
      <c r="I6" s="12" t="s">
        <v>298</v>
      </c>
      <c r="J6" s="12"/>
      <c r="K6" s="12"/>
    </row>
    <row r="7" customFormat="false" ht="35.05" hidden="false" customHeight="false" outlineLevel="0" collapsed="false">
      <c r="A7" s="11" t="s">
        <v>299</v>
      </c>
      <c r="B7" s="12" t="s">
        <v>135</v>
      </c>
      <c r="C7" s="12" t="s">
        <v>300</v>
      </c>
      <c r="D7" s="12" t="s">
        <v>155</v>
      </c>
      <c r="E7" s="13" t="s">
        <v>45</v>
      </c>
      <c r="F7" s="12" t="s">
        <v>301</v>
      </c>
      <c r="G7" s="12" t="s">
        <v>302</v>
      </c>
      <c r="H7" s="12" t="s">
        <v>62</v>
      </c>
      <c r="I7" s="12" t="s">
        <v>303</v>
      </c>
      <c r="J7" s="12"/>
      <c r="K7" s="12"/>
    </row>
    <row r="8" customFormat="false" ht="15" hidden="false" customHeight="false" outlineLevel="0" collapsed="false">
      <c r="A8" s="11" t="s">
        <v>304</v>
      </c>
      <c r="B8" s="12" t="s">
        <v>135</v>
      </c>
      <c r="C8" s="12" t="s">
        <v>305</v>
      </c>
      <c r="D8" s="12" t="s">
        <v>306</v>
      </c>
      <c r="E8" s="14" t="s">
        <v>71</v>
      </c>
      <c r="F8" s="12" t="s">
        <v>307</v>
      </c>
      <c r="G8" s="12" t="s">
        <v>308</v>
      </c>
      <c r="H8" s="12" t="s">
        <v>309</v>
      </c>
      <c r="I8" s="12" t="s">
        <v>310</v>
      </c>
      <c r="J8" s="12"/>
      <c r="K8" s="12"/>
    </row>
    <row r="9" customFormat="false" ht="35.05" hidden="false" customHeight="false" outlineLevel="0" collapsed="false">
      <c r="A9" s="11" t="s">
        <v>311</v>
      </c>
      <c r="B9" s="12" t="s">
        <v>312</v>
      </c>
      <c r="C9" s="12" t="s">
        <v>313</v>
      </c>
      <c r="D9" s="12" t="s">
        <v>155</v>
      </c>
      <c r="E9" s="13" t="s">
        <v>45</v>
      </c>
      <c r="F9" s="12" t="s">
        <v>314</v>
      </c>
      <c r="G9" s="12" t="s">
        <v>315</v>
      </c>
      <c r="H9" s="12" t="s">
        <v>62</v>
      </c>
      <c r="I9" s="12" t="s">
        <v>316</v>
      </c>
      <c r="J9" s="12"/>
      <c r="K9" s="12"/>
    </row>
    <row r="10" customFormat="false" ht="35.05" hidden="false" customHeight="false" outlineLevel="0" collapsed="false">
      <c r="A10" s="11" t="s">
        <v>317</v>
      </c>
      <c r="B10" s="12" t="s">
        <v>318</v>
      </c>
      <c r="C10" s="12" t="s">
        <v>319</v>
      </c>
      <c r="D10" s="12" t="s">
        <v>155</v>
      </c>
      <c r="E10" s="13" t="s">
        <v>45</v>
      </c>
      <c r="F10" s="12" t="s">
        <v>320</v>
      </c>
      <c r="G10" s="12" t="s">
        <v>321</v>
      </c>
      <c r="H10" s="12" t="s">
        <v>62</v>
      </c>
      <c r="I10" s="12" t="s">
        <v>322</v>
      </c>
      <c r="J10" s="12"/>
      <c r="K10" s="12"/>
    </row>
    <row r="11" customFormat="false" ht="23.85" hidden="false" customHeight="false" outlineLevel="0" collapsed="false">
      <c r="A11" s="11" t="s">
        <v>323</v>
      </c>
      <c r="B11" s="12" t="s">
        <v>318</v>
      </c>
      <c r="C11" s="12" t="s">
        <v>324</v>
      </c>
      <c r="D11" s="12" t="s">
        <v>296</v>
      </c>
      <c r="E11" s="14" t="s">
        <v>71</v>
      </c>
      <c r="F11" s="12" t="s">
        <v>62</v>
      </c>
      <c r="G11" s="12" t="s">
        <v>325</v>
      </c>
      <c r="H11" s="12" t="s">
        <v>62</v>
      </c>
      <c r="I11" s="12" t="s">
        <v>326</v>
      </c>
      <c r="J11" s="12"/>
      <c r="K11" s="12"/>
    </row>
    <row r="12" customFormat="false" ht="35.05" hidden="false" customHeight="false" outlineLevel="0" collapsed="false">
      <c r="A12" s="11" t="s">
        <v>327</v>
      </c>
      <c r="B12" s="12" t="s">
        <v>318</v>
      </c>
      <c r="C12" s="12" t="s">
        <v>328</v>
      </c>
      <c r="D12" s="12" t="s">
        <v>155</v>
      </c>
      <c r="E12" s="13" t="s">
        <v>45</v>
      </c>
      <c r="F12" s="12" t="s">
        <v>329</v>
      </c>
      <c r="G12" s="12" t="s">
        <v>330</v>
      </c>
      <c r="H12" s="12" t="s">
        <v>62</v>
      </c>
      <c r="I12" s="12" t="s">
        <v>331</v>
      </c>
      <c r="J12" s="12"/>
      <c r="K12" s="12"/>
    </row>
    <row r="13" customFormat="false" ht="35.05" hidden="false" customHeight="false" outlineLevel="0" collapsed="false">
      <c r="A13" s="11" t="s">
        <v>332</v>
      </c>
      <c r="B13" s="12" t="s">
        <v>333</v>
      </c>
      <c r="C13" s="12" t="s">
        <v>334</v>
      </c>
      <c r="D13" s="12" t="s">
        <v>155</v>
      </c>
      <c r="E13" s="13" t="s">
        <v>45</v>
      </c>
      <c r="F13" s="12" t="s">
        <v>335</v>
      </c>
      <c r="G13" s="12" t="s">
        <v>336</v>
      </c>
      <c r="H13" s="12" t="s">
        <v>62</v>
      </c>
      <c r="I13" s="12" t="s">
        <v>337</v>
      </c>
      <c r="J13" s="12"/>
      <c r="K13" s="12"/>
    </row>
    <row r="14" customFormat="false" ht="35.05" hidden="false" customHeight="false" outlineLevel="0" collapsed="false">
      <c r="A14" s="11" t="s">
        <v>338</v>
      </c>
      <c r="B14" s="12" t="s">
        <v>333</v>
      </c>
      <c r="C14" s="12" t="s">
        <v>339</v>
      </c>
      <c r="D14" s="12" t="s">
        <v>44</v>
      </c>
      <c r="E14" s="13" t="s">
        <v>45</v>
      </c>
      <c r="F14" s="12" t="s">
        <v>340</v>
      </c>
      <c r="G14" s="12" t="s">
        <v>341</v>
      </c>
      <c r="H14" s="12" t="s">
        <v>62</v>
      </c>
      <c r="I14" s="12" t="s">
        <v>342</v>
      </c>
      <c r="J14" s="12"/>
      <c r="K14" s="12"/>
    </row>
    <row r="15" customFormat="false" ht="35.05" hidden="false" customHeight="false" outlineLevel="0" collapsed="false">
      <c r="A15" s="11" t="s">
        <v>343</v>
      </c>
      <c r="B15" s="12" t="s">
        <v>344</v>
      </c>
      <c r="C15" s="12" t="s">
        <v>345</v>
      </c>
      <c r="D15" s="12" t="s">
        <v>155</v>
      </c>
      <c r="E15" s="13" t="s">
        <v>45</v>
      </c>
      <c r="F15" s="12" t="s">
        <v>346</v>
      </c>
      <c r="G15" s="12" t="s">
        <v>347</v>
      </c>
      <c r="H15" s="12" t="s">
        <v>62</v>
      </c>
      <c r="I15" s="12" t="s">
        <v>348</v>
      </c>
      <c r="J15" s="12"/>
      <c r="K15" s="12"/>
    </row>
    <row r="16" customFormat="false" ht="23.85" hidden="false" customHeight="false" outlineLevel="0" collapsed="false">
      <c r="A16" s="11" t="s">
        <v>349</v>
      </c>
      <c r="B16" s="12" t="s">
        <v>344</v>
      </c>
      <c r="C16" s="12" t="s">
        <v>350</v>
      </c>
      <c r="D16" s="12" t="s">
        <v>155</v>
      </c>
      <c r="E16" s="14" t="s">
        <v>71</v>
      </c>
      <c r="F16" s="12" t="s">
        <v>351</v>
      </c>
      <c r="G16" s="12" t="s">
        <v>352</v>
      </c>
      <c r="H16" s="12" t="s">
        <v>62</v>
      </c>
      <c r="I16" s="12" t="s">
        <v>353</v>
      </c>
      <c r="J16" s="12"/>
      <c r="K16" s="12"/>
    </row>
  </sheetData>
  <autoFilter ref="A3:K16"/>
  <mergeCells count="1">
    <mergeCell ref="A2:K2"/>
  </mergeCells>
  <dataValidations count="1">
    <dataValidation allowBlank="true" errorStyle="stop" operator="between" showDropDown="false" showErrorMessage="false" showInputMessage="false" sqref="J4:J16" type="list">
      <formula1>"Pass,Fail,Blocked"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8" t="s">
        <v>354</v>
      </c>
    </row>
    <row r="2" customFormat="false" ht="30" hidden="false" customHeight="true" outlineLevel="0" collapsed="false">
      <c r="A2" s="9" t="s">
        <v>355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10" t="s">
        <v>33</v>
      </c>
      <c r="B3" s="10" t="s">
        <v>34</v>
      </c>
      <c r="C3" s="10" t="s">
        <v>35</v>
      </c>
      <c r="D3" s="10" t="s">
        <v>12</v>
      </c>
      <c r="E3" s="10" t="s">
        <v>14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16</v>
      </c>
      <c r="K3" s="10" t="s">
        <v>40</v>
      </c>
    </row>
    <row r="4" customFormat="false" ht="35.05" hidden="false" customHeight="false" outlineLevel="0" collapsed="false">
      <c r="A4" s="11" t="s">
        <v>356</v>
      </c>
      <c r="B4" s="12" t="s">
        <v>357</v>
      </c>
      <c r="C4" s="12" t="s">
        <v>358</v>
      </c>
      <c r="D4" s="12" t="s">
        <v>359</v>
      </c>
      <c r="E4" s="14" t="s">
        <v>71</v>
      </c>
      <c r="F4" s="12" t="s">
        <v>360</v>
      </c>
      <c r="G4" s="12" t="s">
        <v>361</v>
      </c>
      <c r="H4" s="12" t="s">
        <v>62</v>
      </c>
      <c r="I4" s="12" t="s">
        <v>362</v>
      </c>
      <c r="J4" s="12"/>
      <c r="K4" s="12"/>
    </row>
    <row r="5" customFormat="false" ht="35.05" hidden="false" customHeight="false" outlineLevel="0" collapsed="false">
      <c r="A5" s="11" t="s">
        <v>363</v>
      </c>
      <c r="B5" s="12" t="s">
        <v>58</v>
      </c>
      <c r="C5" s="12" t="s">
        <v>358</v>
      </c>
      <c r="D5" s="12" t="s">
        <v>359</v>
      </c>
      <c r="E5" s="13" t="s">
        <v>45</v>
      </c>
      <c r="F5" s="12" t="s">
        <v>360</v>
      </c>
      <c r="G5" s="12" t="s">
        <v>361</v>
      </c>
      <c r="H5" s="12" t="s">
        <v>62</v>
      </c>
      <c r="I5" s="12" t="s">
        <v>362</v>
      </c>
      <c r="J5" s="12"/>
      <c r="K5" s="12"/>
    </row>
    <row r="6" customFormat="false" ht="35.05" hidden="false" customHeight="false" outlineLevel="0" collapsed="false">
      <c r="A6" s="11" t="s">
        <v>364</v>
      </c>
      <c r="B6" s="12" t="s">
        <v>365</v>
      </c>
      <c r="C6" s="12" t="s">
        <v>358</v>
      </c>
      <c r="D6" s="12" t="s">
        <v>359</v>
      </c>
      <c r="E6" s="14" t="s">
        <v>71</v>
      </c>
      <c r="F6" s="12" t="s">
        <v>360</v>
      </c>
      <c r="G6" s="12" t="s">
        <v>361</v>
      </c>
      <c r="H6" s="12" t="s">
        <v>62</v>
      </c>
      <c r="I6" s="12" t="s">
        <v>362</v>
      </c>
      <c r="J6" s="12"/>
      <c r="K6" s="12"/>
    </row>
    <row r="7" customFormat="false" ht="35.05" hidden="false" customHeight="false" outlineLevel="0" collapsed="false">
      <c r="A7" s="11" t="s">
        <v>366</v>
      </c>
      <c r="B7" s="12" t="s">
        <v>367</v>
      </c>
      <c r="C7" s="12" t="s">
        <v>358</v>
      </c>
      <c r="D7" s="12" t="s">
        <v>359</v>
      </c>
      <c r="E7" s="14" t="s">
        <v>71</v>
      </c>
      <c r="F7" s="12" t="s">
        <v>360</v>
      </c>
      <c r="G7" s="12" t="s">
        <v>361</v>
      </c>
      <c r="H7" s="12" t="s">
        <v>62</v>
      </c>
      <c r="I7" s="12" t="s">
        <v>362</v>
      </c>
      <c r="J7" s="12"/>
      <c r="K7" s="12"/>
    </row>
    <row r="8" customFormat="false" ht="35.05" hidden="false" customHeight="false" outlineLevel="0" collapsed="false">
      <c r="A8" s="11" t="s">
        <v>368</v>
      </c>
      <c r="B8" s="12" t="s">
        <v>369</v>
      </c>
      <c r="C8" s="12" t="s">
        <v>358</v>
      </c>
      <c r="D8" s="12" t="s">
        <v>359</v>
      </c>
      <c r="E8" s="14" t="s">
        <v>71</v>
      </c>
      <c r="F8" s="12" t="s">
        <v>360</v>
      </c>
      <c r="G8" s="12" t="s">
        <v>361</v>
      </c>
      <c r="H8" s="12" t="s">
        <v>62</v>
      </c>
      <c r="I8" s="12" t="s">
        <v>362</v>
      </c>
      <c r="J8" s="12"/>
      <c r="K8" s="12"/>
    </row>
    <row r="9" customFormat="false" ht="35.05" hidden="false" customHeight="false" outlineLevel="0" collapsed="false">
      <c r="A9" s="11" t="s">
        <v>370</v>
      </c>
      <c r="B9" s="12" t="s">
        <v>371</v>
      </c>
      <c r="C9" s="12" t="s">
        <v>358</v>
      </c>
      <c r="D9" s="12" t="s">
        <v>359</v>
      </c>
      <c r="E9" s="14" t="s">
        <v>71</v>
      </c>
      <c r="F9" s="12" t="s">
        <v>360</v>
      </c>
      <c r="G9" s="12" t="s">
        <v>361</v>
      </c>
      <c r="H9" s="12" t="s">
        <v>62</v>
      </c>
      <c r="I9" s="12" t="s">
        <v>362</v>
      </c>
      <c r="J9" s="12"/>
      <c r="K9" s="12"/>
    </row>
    <row r="10" customFormat="false" ht="35.05" hidden="false" customHeight="false" outlineLevel="0" collapsed="false">
      <c r="A10" s="11" t="s">
        <v>372</v>
      </c>
      <c r="B10" s="12" t="s">
        <v>373</v>
      </c>
      <c r="C10" s="12" t="s">
        <v>358</v>
      </c>
      <c r="D10" s="12" t="s">
        <v>359</v>
      </c>
      <c r="E10" s="14" t="s">
        <v>71</v>
      </c>
      <c r="F10" s="12" t="s">
        <v>360</v>
      </c>
      <c r="G10" s="12" t="s">
        <v>361</v>
      </c>
      <c r="H10" s="12" t="s">
        <v>62</v>
      </c>
      <c r="I10" s="12" t="s">
        <v>362</v>
      </c>
      <c r="J10" s="12"/>
      <c r="K10" s="12"/>
    </row>
    <row r="11" customFormat="false" ht="35.05" hidden="false" customHeight="false" outlineLevel="0" collapsed="false">
      <c r="A11" s="11" t="s">
        <v>374</v>
      </c>
      <c r="B11" s="12" t="s">
        <v>123</v>
      </c>
      <c r="C11" s="12" t="s">
        <v>358</v>
      </c>
      <c r="D11" s="12" t="s">
        <v>359</v>
      </c>
      <c r="E11" s="14" t="s">
        <v>71</v>
      </c>
      <c r="F11" s="12" t="s">
        <v>360</v>
      </c>
      <c r="G11" s="12" t="s">
        <v>361</v>
      </c>
      <c r="H11" s="12" t="s">
        <v>62</v>
      </c>
      <c r="I11" s="12" t="s">
        <v>362</v>
      </c>
      <c r="J11" s="12"/>
      <c r="K11" s="12"/>
    </row>
    <row r="12" customFormat="false" ht="35.05" hidden="false" customHeight="false" outlineLevel="0" collapsed="false">
      <c r="A12" s="11" t="s">
        <v>375</v>
      </c>
      <c r="B12" s="12" t="s">
        <v>76</v>
      </c>
      <c r="C12" s="12" t="s">
        <v>358</v>
      </c>
      <c r="D12" s="12" t="s">
        <v>359</v>
      </c>
      <c r="E12" s="13" t="s">
        <v>45</v>
      </c>
      <c r="F12" s="12" t="s">
        <v>360</v>
      </c>
      <c r="G12" s="12" t="s">
        <v>361</v>
      </c>
      <c r="H12" s="12" t="s">
        <v>62</v>
      </c>
      <c r="I12" s="12" t="s">
        <v>362</v>
      </c>
      <c r="J12" s="12"/>
      <c r="K12" s="12"/>
    </row>
    <row r="13" customFormat="false" ht="35.05" hidden="false" customHeight="false" outlineLevel="0" collapsed="false">
      <c r="A13" s="11" t="s">
        <v>376</v>
      </c>
      <c r="B13" s="12" t="s">
        <v>87</v>
      </c>
      <c r="C13" s="12" t="s">
        <v>358</v>
      </c>
      <c r="D13" s="12" t="s">
        <v>359</v>
      </c>
      <c r="E13" s="13" t="s">
        <v>45</v>
      </c>
      <c r="F13" s="12" t="s">
        <v>360</v>
      </c>
      <c r="G13" s="12" t="s">
        <v>361</v>
      </c>
      <c r="H13" s="12" t="s">
        <v>62</v>
      </c>
      <c r="I13" s="12" t="s">
        <v>362</v>
      </c>
      <c r="J13" s="12"/>
      <c r="K13" s="12"/>
    </row>
    <row r="14" customFormat="false" ht="35.05" hidden="false" customHeight="false" outlineLevel="0" collapsed="false">
      <c r="A14" s="11" t="s">
        <v>377</v>
      </c>
      <c r="B14" s="12" t="s">
        <v>187</v>
      </c>
      <c r="C14" s="12" t="s">
        <v>358</v>
      </c>
      <c r="D14" s="12" t="s">
        <v>359</v>
      </c>
      <c r="E14" s="14" t="s">
        <v>71</v>
      </c>
      <c r="F14" s="12" t="s">
        <v>360</v>
      </c>
      <c r="G14" s="12" t="s">
        <v>361</v>
      </c>
      <c r="H14" s="12" t="s">
        <v>62</v>
      </c>
      <c r="I14" s="12" t="s">
        <v>362</v>
      </c>
      <c r="J14" s="12"/>
      <c r="K14" s="12"/>
    </row>
    <row r="15" customFormat="false" ht="35.05" hidden="false" customHeight="false" outlineLevel="0" collapsed="false">
      <c r="A15" s="11" t="s">
        <v>378</v>
      </c>
      <c r="B15" s="12" t="s">
        <v>193</v>
      </c>
      <c r="C15" s="12" t="s">
        <v>358</v>
      </c>
      <c r="D15" s="12" t="s">
        <v>359</v>
      </c>
      <c r="E15" s="14" t="s">
        <v>71</v>
      </c>
      <c r="F15" s="12" t="s">
        <v>360</v>
      </c>
      <c r="G15" s="12" t="s">
        <v>361</v>
      </c>
      <c r="H15" s="12" t="s">
        <v>62</v>
      </c>
      <c r="I15" s="12" t="s">
        <v>362</v>
      </c>
      <c r="J15" s="12"/>
      <c r="K15" s="12"/>
    </row>
    <row r="16" customFormat="false" ht="35.05" hidden="false" customHeight="false" outlineLevel="0" collapsed="false">
      <c r="A16" s="11" t="s">
        <v>379</v>
      </c>
      <c r="B16" s="12" t="s">
        <v>99</v>
      </c>
      <c r="C16" s="12" t="s">
        <v>358</v>
      </c>
      <c r="D16" s="12" t="s">
        <v>359</v>
      </c>
      <c r="E16" s="14" t="s">
        <v>71</v>
      </c>
      <c r="F16" s="12" t="s">
        <v>360</v>
      </c>
      <c r="G16" s="12" t="s">
        <v>361</v>
      </c>
      <c r="H16" s="12" t="s">
        <v>62</v>
      </c>
      <c r="I16" s="12" t="s">
        <v>362</v>
      </c>
      <c r="J16" s="12"/>
      <c r="K16" s="12"/>
    </row>
    <row r="17" customFormat="false" ht="35.05" hidden="false" customHeight="false" outlineLevel="0" collapsed="false">
      <c r="A17" s="11" t="s">
        <v>380</v>
      </c>
      <c r="B17" s="12" t="s">
        <v>381</v>
      </c>
      <c r="C17" s="12" t="s">
        <v>358</v>
      </c>
      <c r="D17" s="12" t="s">
        <v>359</v>
      </c>
      <c r="E17" s="14" t="s">
        <v>71</v>
      </c>
      <c r="F17" s="12" t="s">
        <v>360</v>
      </c>
      <c r="G17" s="12" t="s">
        <v>361</v>
      </c>
      <c r="H17" s="12" t="s">
        <v>62</v>
      </c>
      <c r="I17" s="12" t="s">
        <v>362</v>
      </c>
      <c r="J17" s="12"/>
      <c r="K17" s="12"/>
    </row>
    <row r="18" customFormat="false" ht="35.05" hidden="false" customHeight="false" outlineLevel="0" collapsed="false">
      <c r="A18" s="11" t="s">
        <v>382</v>
      </c>
      <c r="B18" s="12" t="s">
        <v>105</v>
      </c>
      <c r="C18" s="12" t="s">
        <v>358</v>
      </c>
      <c r="D18" s="12" t="s">
        <v>359</v>
      </c>
      <c r="E18" s="14" t="s">
        <v>71</v>
      </c>
      <c r="F18" s="12" t="s">
        <v>360</v>
      </c>
      <c r="G18" s="12" t="s">
        <v>361</v>
      </c>
      <c r="H18" s="12" t="s">
        <v>62</v>
      </c>
      <c r="I18" s="12" t="s">
        <v>362</v>
      </c>
      <c r="J18" s="12"/>
      <c r="K18" s="12"/>
    </row>
    <row r="19" customFormat="false" ht="35.05" hidden="false" customHeight="false" outlineLevel="0" collapsed="false">
      <c r="A19" s="11" t="s">
        <v>383</v>
      </c>
      <c r="B19" s="12" t="s">
        <v>111</v>
      </c>
      <c r="C19" s="12" t="s">
        <v>358</v>
      </c>
      <c r="D19" s="12" t="s">
        <v>359</v>
      </c>
      <c r="E19" s="14" t="s">
        <v>71</v>
      </c>
      <c r="F19" s="12" t="s">
        <v>360</v>
      </c>
      <c r="G19" s="12" t="s">
        <v>361</v>
      </c>
      <c r="H19" s="12" t="s">
        <v>62</v>
      </c>
      <c r="I19" s="12" t="s">
        <v>362</v>
      </c>
      <c r="J19" s="12"/>
      <c r="K19" s="12"/>
    </row>
    <row r="20" customFormat="false" ht="35.05" hidden="false" customHeight="false" outlineLevel="0" collapsed="false">
      <c r="A20" s="11" t="s">
        <v>384</v>
      </c>
      <c r="B20" s="12" t="s">
        <v>222</v>
      </c>
      <c r="C20" s="12" t="s">
        <v>358</v>
      </c>
      <c r="D20" s="12" t="s">
        <v>359</v>
      </c>
      <c r="E20" s="14" t="s">
        <v>71</v>
      </c>
      <c r="F20" s="12" t="s">
        <v>360</v>
      </c>
      <c r="G20" s="12" t="s">
        <v>361</v>
      </c>
      <c r="H20" s="12" t="s">
        <v>62</v>
      </c>
      <c r="I20" s="12" t="s">
        <v>362</v>
      </c>
      <c r="J20" s="12"/>
      <c r="K20" s="12"/>
    </row>
    <row r="21" customFormat="false" ht="35.05" hidden="false" customHeight="false" outlineLevel="0" collapsed="false">
      <c r="A21" s="11" t="s">
        <v>385</v>
      </c>
      <c r="B21" s="12" t="s">
        <v>135</v>
      </c>
      <c r="C21" s="12" t="s">
        <v>358</v>
      </c>
      <c r="D21" s="12" t="s">
        <v>359</v>
      </c>
      <c r="E21" s="13" t="s">
        <v>45</v>
      </c>
      <c r="F21" s="12" t="s">
        <v>360</v>
      </c>
      <c r="G21" s="12" t="s">
        <v>361</v>
      </c>
      <c r="H21" s="12" t="s">
        <v>62</v>
      </c>
      <c r="I21" s="12" t="s">
        <v>362</v>
      </c>
      <c r="J21" s="12"/>
      <c r="K21" s="12"/>
    </row>
    <row r="22" customFormat="false" ht="23.85" hidden="false" customHeight="false" outlineLevel="0" collapsed="false">
      <c r="A22" s="11" t="s">
        <v>386</v>
      </c>
      <c r="B22" s="12" t="s">
        <v>387</v>
      </c>
      <c r="C22" s="12" t="s">
        <v>388</v>
      </c>
      <c r="D22" s="12" t="s">
        <v>359</v>
      </c>
      <c r="E22" s="13" t="s">
        <v>45</v>
      </c>
      <c r="F22" s="12" t="s">
        <v>389</v>
      </c>
      <c r="G22" s="12" t="s">
        <v>390</v>
      </c>
      <c r="H22" s="12" t="s">
        <v>62</v>
      </c>
      <c r="I22" s="12" t="s">
        <v>391</v>
      </c>
      <c r="J22" s="12"/>
      <c r="K22" s="12"/>
    </row>
    <row r="23" customFormat="false" ht="35.05" hidden="false" customHeight="false" outlineLevel="0" collapsed="false">
      <c r="A23" s="11" t="s">
        <v>392</v>
      </c>
      <c r="B23" s="12" t="s">
        <v>387</v>
      </c>
      <c r="C23" s="12" t="s">
        <v>393</v>
      </c>
      <c r="D23" s="12" t="s">
        <v>359</v>
      </c>
      <c r="E23" s="13" t="s">
        <v>45</v>
      </c>
      <c r="F23" s="12" t="s">
        <v>394</v>
      </c>
      <c r="G23" s="12" t="s">
        <v>395</v>
      </c>
      <c r="H23" s="12" t="s">
        <v>62</v>
      </c>
      <c r="I23" s="12" t="s">
        <v>396</v>
      </c>
      <c r="J23" s="12"/>
      <c r="K23" s="12"/>
    </row>
  </sheetData>
  <autoFilter ref="A3:K23"/>
  <mergeCells count="1">
    <mergeCell ref="A2:K2"/>
  </mergeCells>
  <dataValidations count="1">
    <dataValidation allowBlank="true" errorStyle="stop" operator="between" showDropDown="false" showErrorMessage="false" showInputMessage="false" sqref="J4:J23" type="list">
      <formula1>"Pass,Fail,Blocked"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2026-10-06T17:37:31Z</dcterms:created>
  <dc:creator>openpyxl</dc:creator>
  <dc:description/>
  <dc:language>en-US</dc:language>
  <cp:lastModifiedBy/>
  <dcterms:modified xsi:type="dcterms:W3CDTF">2026-10-06T17:37:31Z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